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ml.chartshape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ml.chartshape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ml.chartshapes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ml.chartshapes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/>
  <mc:AlternateContent xmlns:mc="http://schemas.openxmlformats.org/markup-compatibility/2006">
    <mc:Choice Requires="x15">
      <x15ac:absPath xmlns:x15ac="http://schemas.microsoft.com/office/spreadsheetml/2010/11/ac" url="https://polimi365-my.sharepoint.com/personal/10709976_polimi_it/Documents/Shared Folders/Collaborative Project/CONSEGNA WEBEEP/Group 3B/ASPEN_DEMO/ASPEN_CONTROL/DATA_ANALYSIS/_TESTS/ASPEN_EXO/"/>
    </mc:Choice>
  </mc:AlternateContent>
  <xr:revisionPtr revIDLastSave="1155" documentId="8_{DD3B8187-CE16-463E-AF38-ECD35ADA8B57}" xr6:coauthVersionLast="47" xr6:coauthVersionMax="47" xr10:uidLastSave="{53026572-2BE1-4757-B779-D271EAC98D5B}"/>
  <bookViews>
    <workbookView xWindow="-98" yWindow="-98" windowWidth="21795" windowHeight="12975" activeTab="1" xr2:uid="{00000000-000D-0000-FFFF-FFFF00000000}"/>
  </bookViews>
  <sheets>
    <sheet name="Data" sheetId="1" r:id="rId1"/>
    <sheet name="Graph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3" i="2" l="1"/>
  <c r="F43" i="2"/>
  <c r="E43" i="2"/>
  <c r="I43" i="2"/>
  <c r="I61" i="2"/>
  <c r="I60" i="2"/>
  <c r="I42" i="2"/>
  <c r="I25" i="2"/>
  <c r="I24" i="2"/>
  <c r="I16" i="2"/>
  <c r="I15" i="2"/>
  <c r="E7" i="2"/>
  <c r="D6" i="2"/>
  <c r="I6" i="2"/>
  <c r="I7" i="2"/>
  <c r="J9" i="1"/>
  <c r="J8" i="1"/>
  <c r="H66" i="2"/>
  <c r="H65" i="2"/>
  <c r="H57" i="2"/>
  <c r="H56" i="2"/>
  <c r="H39" i="2"/>
  <c r="H38" i="2"/>
  <c r="H48" i="2"/>
  <c r="H47" i="2"/>
  <c r="H30" i="2"/>
  <c r="H29" i="2"/>
  <c r="H21" i="2"/>
  <c r="H20" i="2"/>
  <c r="H12" i="2"/>
  <c r="H11" i="2"/>
  <c r="H3" i="2"/>
  <c r="H2" i="2"/>
  <c r="G70" i="2"/>
  <c r="F70" i="2"/>
  <c r="E70" i="2"/>
  <c r="D69" i="2"/>
  <c r="C69" i="2"/>
  <c r="B69" i="2"/>
  <c r="G61" i="2"/>
  <c r="F61" i="2"/>
  <c r="E61" i="2"/>
  <c r="D60" i="2"/>
  <c r="C60" i="2"/>
  <c r="B60" i="2"/>
  <c r="G52" i="2"/>
  <c r="F52" i="2"/>
  <c r="E52" i="2"/>
  <c r="D51" i="2"/>
  <c r="C51" i="2"/>
  <c r="B51" i="2"/>
  <c r="D42" i="2"/>
  <c r="C42" i="2"/>
  <c r="B42" i="2"/>
  <c r="G34" i="2"/>
  <c r="F34" i="2"/>
  <c r="E34" i="2"/>
  <c r="G25" i="2"/>
  <c r="F25" i="2"/>
  <c r="E25" i="2"/>
  <c r="D33" i="2"/>
  <c r="C33" i="2"/>
  <c r="B33" i="2"/>
  <c r="D24" i="2"/>
  <c r="C24" i="2"/>
  <c r="B24" i="2"/>
  <c r="G16" i="2"/>
  <c r="F16" i="2"/>
  <c r="E16" i="2"/>
  <c r="D15" i="2"/>
  <c r="C15" i="2"/>
  <c r="B15" i="2"/>
  <c r="G7" i="2"/>
  <c r="F7" i="2"/>
  <c r="C6" i="2"/>
  <c r="B6" i="2"/>
</calcChain>
</file>

<file path=xl/sharedStrings.xml><?xml version="1.0" encoding="utf-8"?>
<sst xmlns="http://schemas.openxmlformats.org/spreadsheetml/2006/main" count="208" uniqueCount="62">
  <si>
    <t>Subject</t>
  </si>
  <si>
    <t>Position</t>
  </si>
  <si>
    <t>Condition</t>
  </si>
  <si>
    <t>Time (hh:mm)</t>
  </si>
  <si>
    <t>Sampling Frequency (Fs)</t>
  </si>
  <si>
    <t>Max Value Median (°)</t>
  </si>
  <si>
    <t>Nicolas</t>
  </si>
  <si>
    <t>Roberto</t>
  </si>
  <si>
    <t>Seduto</t>
  </si>
  <si>
    <t>In Piedi</t>
  </si>
  <si>
    <t>Robot</t>
  </si>
  <si>
    <t>Terapista</t>
  </si>
  <si>
    <t>12:38</t>
  </si>
  <si>
    <t>12:40</t>
  </si>
  <si>
    <t>12:41</t>
  </si>
  <si>
    <t>12:43</t>
  </si>
  <si>
    <t>12:45</t>
  </si>
  <si>
    <t>12:46</t>
  </si>
  <si>
    <t>12:23</t>
  </si>
  <si>
    <t>12:26</t>
  </si>
  <si>
    <t>12:27</t>
  </si>
  <si>
    <t>12:31</t>
  </si>
  <si>
    <t>12:34</t>
  </si>
  <si>
    <t>12:35</t>
  </si>
  <si>
    <t>13:30</t>
  </si>
  <si>
    <t>13:31</t>
  </si>
  <si>
    <t>13:32</t>
  </si>
  <si>
    <t>13:34</t>
  </si>
  <si>
    <t>13:35</t>
  </si>
  <si>
    <t>13:36</t>
  </si>
  <si>
    <t>13:14</t>
  </si>
  <si>
    <t>13:15</t>
  </si>
  <si>
    <t>13:16</t>
  </si>
  <si>
    <t>13:19</t>
  </si>
  <si>
    <t>13:21</t>
  </si>
  <si>
    <t>13:22</t>
  </si>
  <si>
    <t>Min Value Median (°)</t>
  </si>
  <si>
    <t>Note</t>
  </si>
  <si>
    <t>Max IQR (°)</t>
  </si>
  <si>
    <t>Min IQR (°)</t>
  </si>
  <si>
    <t>Test 1</t>
  </si>
  <si>
    <t>EXO</t>
  </si>
  <si>
    <t>Soggetto 1 Robot vs Terapista, LIFT (MAX)</t>
  </si>
  <si>
    <t>IQR/2</t>
  </si>
  <si>
    <t>Soggetto 1 Robot vs Terapista, LIFT (MIN)</t>
  </si>
  <si>
    <t>Test 2</t>
  </si>
  <si>
    <t>Soggetto 1 vs Soggetto 2, LIFT (MAX)</t>
  </si>
  <si>
    <t>Subject 1</t>
  </si>
  <si>
    <t>Subject 2</t>
  </si>
  <si>
    <t>Soggetto 1 vs Soggetto 2, LIFT (MIN)</t>
  </si>
  <si>
    <t>Test 3</t>
  </si>
  <si>
    <t>Soggetto 1 Robot vs Terapista, LIFT 45° (MAX)</t>
  </si>
  <si>
    <t>Soggetto 1 Robot vs Terapista, LIFT 45° (MIN)</t>
  </si>
  <si>
    <t>16-Dec, 45°</t>
  </si>
  <si>
    <t>Test 4</t>
  </si>
  <si>
    <t>16-Dec, 2x</t>
  </si>
  <si>
    <t>Soggetto 1 Robot vs Terapista, LIFT 2x (MAX)</t>
  </si>
  <si>
    <t>Soggetto 1 Robot vs Terapista, LIFT 2x (MIN)</t>
  </si>
  <si>
    <t>Therapist</t>
  </si>
  <si>
    <t>Exo</t>
  </si>
  <si>
    <t xml:space="preserve">RMSE </t>
  </si>
  <si>
    <t>Aver. IQR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</si>
</sst>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Manrope"/>
    </font>
    <font>
      <sz val="11"/>
      <color theme="1"/>
      <name val="Manrope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/>
    <xf numFmtId="0" fontId="2" fillId="0" borderId="0" xfId="0" applyFont="1"/>
    <xf numFmtId="16" fontId="2" fillId="0" borderId="0" xfId="0" applyNumberFormat="1" applyFont="1"/>
    <xf numFmtId="0" fontId="1" fillId="0" borderId="0" xfId="0" applyFont="1"/>
    <xf numFmtId="2" fontId="2" fillId="0" borderId="0" xfId="0" applyNumberFormat="1" applyFont="1"/>
    <xf numFmtId="0" fontId="2" fillId="0" borderId="0" xfId="0" applyFont="1" applyAlignment="1">
      <alignment horizontal="right"/>
    </xf>
    <xf numFmtId="20" fontId="2" fillId="0" borderId="0" xfId="0" applyNumberFormat="1" applyFont="1"/>
    <xf numFmtId="0" fontId="1" fillId="2" borderId="0" xfId="0" applyFont="1" applyFill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nrope" pitchFamily="2" charset="0"/>
                <a:ea typeface="+mn-ea"/>
                <a:cs typeface="+mn-cs"/>
              </a:defRPr>
            </a:pPr>
            <a:r>
              <a:rPr lang="en-GB" b="1">
                <a:latin typeface="Manrope" pitchFamily="2" charset="0"/>
              </a:rPr>
              <a:t>Exo</a:t>
            </a:r>
            <a:r>
              <a:rPr lang="en-GB" b="1" baseline="0">
                <a:latin typeface="Manrope" pitchFamily="2" charset="0"/>
              </a:rPr>
              <a:t> vs Therapist, target angle of 90°, slow motion</a:t>
            </a:r>
            <a:endParaRPr lang="en-GB" b="1">
              <a:latin typeface="Manrope" pitchFamily="2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nrope" pitchFamily="2" charset="0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Graphs!$A$2</c:f>
              <c:strCache>
                <c:ptCount val="1"/>
                <c:pt idx="0">
                  <c:v>Exo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Graphs!$B$6:$D$6</c:f>
                <c:numCache>
                  <c:formatCode>General</c:formatCode>
                  <c:ptCount val="3"/>
                  <c:pt idx="0">
                    <c:v>0.45900000000000002</c:v>
                  </c:pt>
                  <c:pt idx="1">
                    <c:v>0.57399999999999995</c:v>
                  </c:pt>
                  <c:pt idx="2">
                    <c:v>0.36799999999999999</c:v>
                  </c:pt>
                </c:numCache>
              </c:numRef>
            </c:plus>
            <c:minus>
              <c:numRef>
                <c:f>Graphs!$B$6:$D$6</c:f>
                <c:numCache>
                  <c:formatCode>General</c:formatCode>
                  <c:ptCount val="3"/>
                  <c:pt idx="0">
                    <c:v>0.45900000000000002</c:v>
                  </c:pt>
                  <c:pt idx="1">
                    <c:v>0.57399999999999995</c:v>
                  </c:pt>
                  <c:pt idx="2">
                    <c:v>0.36799999999999999</c:v>
                  </c:pt>
                </c:numCache>
              </c:numRef>
            </c:minus>
            <c:spPr>
              <a:noFill/>
              <a:ln w="19050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Graphs!$B$2:$G$2</c:f>
              <c:numCache>
                <c:formatCode>General</c:formatCode>
                <c:ptCount val="6"/>
                <c:pt idx="0">
                  <c:v>85.661000000000001</c:v>
                </c:pt>
                <c:pt idx="1">
                  <c:v>85.796999999999997</c:v>
                </c:pt>
                <c:pt idx="2">
                  <c:v>84.998000000000005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4D-492D-A0B1-0C0C71EFB3B5}"/>
            </c:ext>
          </c:extLst>
        </c:ser>
        <c:ser>
          <c:idx val="1"/>
          <c:order val="1"/>
          <c:tx>
            <c:strRef>
              <c:f>Graphs!$A$3</c:f>
              <c:strCache>
                <c:ptCount val="1"/>
                <c:pt idx="0">
                  <c:v>Therapist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Graphs!$B$7:$G$7</c:f>
                <c:numCache>
                  <c:formatCode>General</c:formatCode>
                  <c:ptCount val="6"/>
                  <c:pt idx="3">
                    <c:v>1.3294999999999999</c:v>
                  </c:pt>
                  <c:pt idx="4">
                    <c:v>3.3414999999999999</c:v>
                  </c:pt>
                  <c:pt idx="5">
                    <c:v>4.5225</c:v>
                  </c:pt>
                </c:numCache>
              </c:numRef>
            </c:plus>
            <c:minus>
              <c:numRef>
                <c:f>Graphs!$B$7:$G$7</c:f>
                <c:numCache>
                  <c:formatCode>General</c:formatCode>
                  <c:ptCount val="6"/>
                  <c:pt idx="3">
                    <c:v>1.3294999999999999</c:v>
                  </c:pt>
                  <c:pt idx="4">
                    <c:v>3.3414999999999999</c:v>
                  </c:pt>
                  <c:pt idx="5">
                    <c:v>4.5225</c:v>
                  </c:pt>
                </c:numCache>
              </c:numRef>
            </c:minus>
            <c:spPr>
              <a:noFill/>
              <a:ln w="19050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Graphs!$B$3:$G$3</c:f>
              <c:numCache>
                <c:formatCode>General</c:formatCode>
                <c:ptCount val="6"/>
                <c:pt idx="3">
                  <c:v>83.162999999999997</c:v>
                </c:pt>
                <c:pt idx="4">
                  <c:v>78.396000000000001</c:v>
                </c:pt>
                <c:pt idx="5">
                  <c:v>72.091999999999999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4D-492D-A0B1-0C0C71EFB3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100"/>
        <c:axId val="478996944"/>
        <c:axId val="479000304"/>
      </c:barChart>
      <c:catAx>
        <c:axId val="478996944"/>
        <c:scaling>
          <c:orientation val="minMax"/>
        </c:scaling>
        <c:delete val="1"/>
        <c:axPos val="b"/>
        <c:majorTickMark val="none"/>
        <c:minorTickMark val="none"/>
        <c:tickLblPos val="nextTo"/>
        <c:crossAx val="479000304"/>
        <c:crosses val="autoZero"/>
        <c:auto val="1"/>
        <c:lblAlgn val="ctr"/>
        <c:lblOffset val="100"/>
        <c:noMultiLvlLbl val="0"/>
      </c:catAx>
      <c:valAx>
        <c:axId val="479000304"/>
        <c:scaling>
          <c:orientation val="minMax"/>
          <c:min val="6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Manrope" pitchFamily="2" charset="0"/>
                    <a:ea typeface="+mn-ea"/>
                    <a:cs typeface="+mn-cs"/>
                  </a:defRPr>
                </a:pPr>
                <a:r>
                  <a:rPr lang="en-GB">
                    <a:latin typeface="Manrope" pitchFamily="2" charset="0"/>
                  </a:rPr>
                  <a:t>Angle [°]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Manrope" pitchFamily="2" charset="0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nrope" pitchFamily="2" charset="0"/>
                <a:ea typeface="+mn-ea"/>
                <a:cs typeface="+mn-cs"/>
              </a:defRPr>
            </a:pPr>
            <a:endParaRPr lang="it-IT"/>
          </a:p>
        </c:txPr>
        <c:crossAx val="478996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5897533377470577"/>
          <c:y val="0.89409667541557303"/>
          <c:w val="0.31205445425410888"/>
          <c:h val="8.41191464048938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nrope" pitchFamily="2" charset="0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nrope" pitchFamily="2" charset="0"/>
                <a:ea typeface="+mn-ea"/>
                <a:cs typeface="+mn-cs"/>
              </a:defRPr>
            </a:pPr>
            <a:r>
              <a:rPr lang="en-GB" sz="1400" b="1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  <a:latin typeface="Manrope" pitchFamily="2" charset="0"/>
              </a:rPr>
              <a:t>Exo vs Therapist, resting position, slow motion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nrope" pitchFamily="2" charset="0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Graphs!$A$2</c:f>
              <c:strCache>
                <c:ptCount val="1"/>
                <c:pt idx="0">
                  <c:v>Exo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Graphs!$B$15:$D$15</c:f>
                <c:numCache>
                  <c:formatCode>General</c:formatCode>
                  <c:ptCount val="3"/>
                  <c:pt idx="0">
                    <c:v>0.46850000000000003</c:v>
                  </c:pt>
                  <c:pt idx="1">
                    <c:v>0.56599999999999995</c:v>
                  </c:pt>
                  <c:pt idx="2">
                    <c:v>2.1869999999999998</c:v>
                  </c:pt>
                </c:numCache>
              </c:numRef>
            </c:plus>
            <c:minus>
              <c:numRef>
                <c:f>Graphs!$B$15:$D$15</c:f>
                <c:numCache>
                  <c:formatCode>General</c:formatCode>
                  <c:ptCount val="3"/>
                  <c:pt idx="0">
                    <c:v>0.46850000000000003</c:v>
                  </c:pt>
                  <c:pt idx="1">
                    <c:v>0.56599999999999995</c:v>
                  </c:pt>
                  <c:pt idx="2">
                    <c:v>2.1869999999999998</c:v>
                  </c:pt>
                </c:numCache>
              </c:numRef>
            </c:minus>
            <c:spPr>
              <a:noFill/>
              <a:ln w="19050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Graphs!$B$11:$G$11</c:f>
              <c:numCache>
                <c:formatCode>General</c:formatCode>
                <c:ptCount val="6"/>
                <c:pt idx="0">
                  <c:v>1.202</c:v>
                </c:pt>
                <c:pt idx="1">
                  <c:v>1.1739999999999999</c:v>
                </c:pt>
                <c:pt idx="2">
                  <c:v>1.397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5E-4815-82D7-E56E579E3A90}"/>
            </c:ext>
          </c:extLst>
        </c:ser>
        <c:ser>
          <c:idx val="1"/>
          <c:order val="1"/>
          <c:tx>
            <c:strRef>
              <c:f>Graphs!$A$3</c:f>
              <c:strCache>
                <c:ptCount val="1"/>
                <c:pt idx="0">
                  <c:v>Therapist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Graphs!$B$16:$G$16</c:f>
                <c:numCache>
                  <c:formatCode>General</c:formatCode>
                  <c:ptCount val="6"/>
                  <c:pt idx="3">
                    <c:v>4.2824999999999998</c:v>
                  </c:pt>
                  <c:pt idx="4">
                    <c:v>0.85</c:v>
                  </c:pt>
                  <c:pt idx="5">
                    <c:v>3.9344999999999999</c:v>
                  </c:pt>
                </c:numCache>
              </c:numRef>
            </c:plus>
            <c:minus>
              <c:numRef>
                <c:f>Graphs!$B$16:$G$16</c:f>
                <c:numCache>
                  <c:formatCode>General</c:formatCode>
                  <c:ptCount val="6"/>
                  <c:pt idx="3">
                    <c:v>4.2824999999999998</c:v>
                  </c:pt>
                  <c:pt idx="4">
                    <c:v>0.85</c:v>
                  </c:pt>
                  <c:pt idx="5">
                    <c:v>3.9344999999999999</c:v>
                  </c:pt>
                </c:numCache>
              </c:numRef>
            </c:minus>
            <c:spPr>
              <a:noFill/>
              <a:ln w="19050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Graphs!$B$12:$G$12</c:f>
              <c:numCache>
                <c:formatCode>General</c:formatCode>
                <c:ptCount val="6"/>
                <c:pt idx="3">
                  <c:v>7.2869999999999999</c:v>
                </c:pt>
                <c:pt idx="4">
                  <c:v>0.91</c:v>
                </c:pt>
                <c:pt idx="5">
                  <c:v>6.9539999999999997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5E-4815-82D7-E56E579E3A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100"/>
        <c:axId val="478996944"/>
        <c:axId val="479000304"/>
      </c:barChart>
      <c:catAx>
        <c:axId val="478996944"/>
        <c:scaling>
          <c:orientation val="minMax"/>
        </c:scaling>
        <c:delete val="1"/>
        <c:axPos val="b"/>
        <c:majorTickMark val="none"/>
        <c:minorTickMark val="none"/>
        <c:tickLblPos val="nextTo"/>
        <c:crossAx val="479000304"/>
        <c:crosses val="autoZero"/>
        <c:auto val="1"/>
        <c:lblAlgn val="ctr"/>
        <c:lblOffset val="100"/>
        <c:noMultiLvlLbl val="0"/>
      </c:catAx>
      <c:valAx>
        <c:axId val="479000304"/>
        <c:scaling>
          <c:orientation val="minMax"/>
          <c:max val="12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Manrope" pitchFamily="2" charset="0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  <a:latin typeface="Manrope" pitchFamily="2" charset="0"/>
                  </a:rPr>
                  <a:t>Angle [°]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Manrope" pitchFamily="2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nrope" pitchFamily="2" charset="0"/>
                <a:ea typeface="+mn-ea"/>
                <a:cs typeface="+mn-cs"/>
              </a:defRPr>
            </a:pPr>
            <a:endParaRPr lang="it-IT"/>
          </a:p>
        </c:txPr>
        <c:crossAx val="478996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7808395549651371"/>
          <c:y val="0.88809237386993278"/>
          <c:w val="0.31205445425410888"/>
          <c:h val="8.41298483522893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nrope" pitchFamily="2" charset="0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Manrope" pitchFamily="2" charset="0"/>
        </a:defRPr>
      </a:pPr>
      <a:endParaRPr lang="it-IT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nrope" pitchFamily="2" charset="0"/>
                <a:ea typeface="+mn-ea"/>
                <a:cs typeface="+mn-cs"/>
              </a:defRPr>
            </a:pPr>
            <a:r>
              <a:rPr lang="en-GB" sz="1400" b="1">
                <a:latin typeface="Manrope" pitchFamily="2" charset="0"/>
              </a:rPr>
              <a:t>Exo</a:t>
            </a:r>
            <a:r>
              <a:rPr lang="en-GB" sz="1400" b="1" baseline="0">
                <a:latin typeface="Manrope" pitchFamily="2" charset="0"/>
              </a:rPr>
              <a:t> Subject</a:t>
            </a:r>
            <a:r>
              <a:rPr lang="en-GB" sz="1400" b="1">
                <a:latin typeface="Manrope" pitchFamily="2" charset="0"/>
              </a:rPr>
              <a:t> 1 vs Subject</a:t>
            </a:r>
            <a:r>
              <a:rPr lang="en-GB" sz="1400" b="1" baseline="0">
                <a:latin typeface="Manrope" pitchFamily="2" charset="0"/>
              </a:rPr>
              <a:t> </a:t>
            </a:r>
            <a:r>
              <a:rPr lang="en-GB" sz="1400" b="1">
                <a:latin typeface="Manrope" pitchFamily="2" charset="0"/>
              </a:rPr>
              <a:t>2, </a:t>
            </a:r>
            <a:r>
              <a:rPr lang="en-GB" sz="1400" b="1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  <a:latin typeface="Manrope" pitchFamily="2" charset="0"/>
              </a:rPr>
              <a:t>target angle of 90°, slow motion</a:t>
            </a:r>
            <a:endParaRPr lang="en-GB" sz="1400" b="1">
              <a:latin typeface="Manrope" pitchFamily="2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nrope" pitchFamily="2" charset="0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Graphs!$A$20</c:f>
              <c:strCache>
                <c:ptCount val="1"/>
                <c:pt idx="0">
                  <c:v>Subject 1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Graphs!$B$24:$D$24</c:f>
                <c:numCache>
                  <c:formatCode>General</c:formatCode>
                  <c:ptCount val="3"/>
                  <c:pt idx="0">
                    <c:v>0.45900000000000002</c:v>
                  </c:pt>
                  <c:pt idx="1">
                    <c:v>0.57399999999999995</c:v>
                  </c:pt>
                  <c:pt idx="2">
                    <c:v>1.1279999999999999</c:v>
                  </c:pt>
                </c:numCache>
              </c:numRef>
            </c:plus>
            <c:minus>
              <c:numRef>
                <c:f>Graphs!$B$24:$D$24</c:f>
                <c:numCache>
                  <c:formatCode>General</c:formatCode>
                  <c:ptCount val="3"/>
                  <c:pt idx="0">
                    <c:v>0.45900000000000002</c:v>
                  </c:pt>
                  <c:pt idx="1">
                    <c:v>0.57399999999999995</c:v>
                  </c:pt>
                  <c:pt idx="2">
                    <c:v>1.1279999999999999</c:v>
                  </c:pt>
                </c:numCache>
              </c:numRef>
            </c:minus>
            <c:spPr>
              <a:noFill/>
              <a:ln w="19050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Graphs!$B$20:$D$20</c:f>
              <c:numCache>
                <c:formatCode>General</c:formatCode>
                <c:ptCount val="3"/>
                <c:pt idx="0">
                  <c:v>85.661000000000001</c:v>
                </c:pt>
                <c:pt idx="1">
                  <c:v>85.796999999999997</c:v>
                </c:pt>
                <c:pt idx="2">
                  <c:v>84.998000000000005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6E-4084-A341-0903972983E9}"/>
            </c:ext>
          </c:extLst>
        </c:ser>
        <c:ser>
          <c:idx val="1"/>
          <c:order val="1"/>
          <c:tx>
            <c:strRef>
              <c:f>Graphs!$A$21</c:f>
              <c:strCache>
                <c:ptCount val="1"/>
                <c:pt idx="0">
                  <c:v>Subject 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Graphs!$B$25:$G$25</c:f>
                <c:numCache>
                  <c:formatCode>General</c:formatCode>
                  <c:ptCount val="6"/>
                  <c:pt idx="3">
                    <c:v>0.57699999999999996</c:v>
                  </c:pt>
                  <c:pt idx="4">
                    <c:v>1.0169999999999999</c:v>
                  </c:pt>
                  <c:pt idx="5">
                    <c:v>0.86250000000000004</c:v>
                  </c:pt>
                </c:numCache>
              </c:numRef>
            </c:plus>
            <c:minus>
              <c:numRef>
                <c:f>Graphs!$B$25:$G$25</c:f>
                <c:numCache>
                  <c:formatCode>General</c:formatCode>
                  <c:ptCount val="6"/>
                  <c:pt idx="3">
                    <c:v>0.57699999999999996</c:v>
                  </c:pt>
                  <c:pt idx="4">
                    <c:v>1.0169999999999999</c:v>
                  </c:pt>
                  <c:pt idx="5">
                    <c:v>0.86250000000000004</c:v>
                  </c:pt>
                </c:numCache>
              </c:numRef>
            </c:minus>
            <c:spPr>
              <a:noFill/>
              <a:ln w="19050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Graphs!$B$21:$G$21</c:f>
              <c:numCache>
                <c:formatCode>General</c:formatCode>
                <c:ptCount val="6"/>
                <c:pt idx="3">
                  <c:v>87.635999999999996</c:v>
                </c:pt>
                <c:pt idx="4">
                  <c:v>87.412999999999997</c:v>
                </c:pt>
                <c:pt idx="5">
                  <c:v>86.545000000000002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6E-4084-A341-0903972983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100"/>
        <c:axId val="478996944"/>
        <c:axId val="479000304"/>
      </c:barChart>
      <c:catAx>
        <c:axId val="478996944"/>
        <c:scaling>
          <c:orientation val="minMax"/>
        </c:scaling>
        <c:delete val="1"/>
        <c:axPos val="b"/>
        <c:majorTickMark val="none"/>
        <c:minorTickMark val="none"/>
        <c:tickLblPos val="nextTo"/>
        <c:crossAx val="479000304"/>
        <c:crosses val="autoZero"/>
        <c:auto val="1"/>
        <c:lblAlgn val="ctr"/>
        <c:lblOffset val="100"/>
        <c:noMultiLvlLbl val="0"/>
      </c:catAx>
      <c:valAx>
        <c:axId val="479000304"/>
        <c:scaling>
          <c:orientation val="minMax"/>
          <c:min val="6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  <a:latin typeface="Manrope" pitchFamily="2" charset="0"/>
                  </a:rPr>
                  <a:t>Angle [°]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rgbClr val="000000">
                      <a:lumMod val="65000"/>
                      <a:lumOff val="35000"/>
                    </a:srgb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nrope" pitchFamily="2" charset="0"/>
                <a:ea typeface="+mn-ea"/>
                <a:cs typeface="+mn-cs"/>
              </a:defRPr>
            </a:pPr>
            <a:endParaRPr lang="it-IT"/>
          </a:p>
        </c:txPr>
        <c:crossAx val="478996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0406798596101264"/>
          <c:y val="0.8940966609307871"/>
          <c:w val="0.42552963973574148"/>
          <c:h val="8.41191464048938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nrope" pitchFamily="2" charset="0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nrope" pitchFamily="2" charset="0"/>
                <a:ea typeface="+mn-ea"/>
                <a:cs typeface="+mn-cs"/>
              </a:defRPr>
            </a:pPr>
            <a:r>
              <a:rPr lang="en-GB"/>
              <a:t>Soggetto 1 vs Soggetto 2, LIFT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nrope" pitchFamily="2" charset="0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Graphs!$A$29</c:f>
              <c:strCache>
                <c:ptCount val="1"/>
                <c:pt idx="0">
                  <c:v>Subject 1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Graphs!$B$33:$D$33</c:f>
                <c:numCache>
                  <c:formatCode>General</c:formatCode>
                  <c:ptCount val="3"/>
                  <c:pt idx="0">
                    <c:v>0.46850000000000003</c:v>
                  </c:pt>
                  <c:pt idx="1">
                    <c:v>0.56599999999999995</c:v>
                  </c:pt>
                  <c:pt idx="2">
                    <c:v>2.1869999999999998</c:v>
                  </c:pt>
                </c:numCache>
              </c:numRef>
            </c:plus>
            <c:minus>
              <c:numRef>
                <c:f>Graphs!$B$33:$D$33</c:f>
                <c:numCache>
                  <c:formatCode>General</c:formatCode>
                  <c:ptCount val="3"/>
                  <c:pt idx="0">
                    <c:v>0.46850000000000003</c:v>
                  </c:pt>
                  <c:pt idx="1">
                    <c:v>0.56599999999999995</c:v>
                  </c:pt>
                  <c:pt idx="2">
                    <c:v>2.1869999999999998</c:v>
                  </c:pt>
                </c:numCache>
              </c:numRef>
            </c:minus>
            <c:spPr>
              <a:noFill/>
              <a:ln w="19050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Graphs!$B$29:$G$29</c:f>
              <c:numCache>
                <c:formatCode>General</c:formatCode>
                <c:ptCount val="6"/>
                <c:pt idx="0">
                  <c:v>1.202</c:v>
                </c:pt>
                <c:pt idx="1">
                  <c:v>1.1739999999999999</c:v>
                </c:pt>
                <c:pt idx="2">
                  <c:v>1.397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41-4D2A-9A2F-054463F933ED}"/>
            </c:ext>
          </c:extLst>
        </c:ser>
        <c:ser>
          <c:idx val="1"/>
          <c:order val="1"/>
          <c:tx>
            <c:strRef>
              <c:f>Graphs!$A$30</c:f>
              <c:strCache>
                <c:ptCount val="1"/>
                <c:pt idx="0">
                  <c:v>Subject 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Graphs!$B$34:$G$34</c:f>
                <c:numCache>
                  <c:formatCode>General</c:formatCode>
                  <c:ptCount val="6"/>
                  <c:pt idx="3">
                    <c:v>0.71099999999999997</c:v>
                  </c:pt>
                  <c:pt idx="4">
                    <c:v>0.55100000000000005</c:v>
                  </c:pt>
                  <c:pt idx="5">
                    <c:v>0.88500000000000001</c:v>
                  </c:pt>
                </c:numCache>
              </c:numRef>
            </c:plus>
            <c:minus>
              <c:numRef>
                <c:f>Graphs!$B$34:$G$34</c:f>
                <c:numCache>
                  <c:formatCode>General</c:formatCode>
                  <c:ptCount val="6"/>
                  <c:pt idx="3">
                    <c:v>0.71099999999999997</c:v>
                  </c:pt>
                  <c:pt idx="4">
                    <c:v>0.55100000000000005</c:v>
                  </c:pt>
                  <c:pt idx="5">
                    <c:v>0.88500000000000001</c:v>
                  </c:pt>
                </c:numCache>
              </c:numRef>
            </c:minus>
            <c:spPr>
              <a:noFill/>
              <a:ln w="19050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Graphs!$B$30:$G$30</c:f>
              <c:numCache>
                <c:formatCode>General</c:formatCode>
                <c:ptCount val="6"/>
                <c:pt idx="3">
                  <c:v>0.63100000000000001</c:v>
                </c:pt>
                <c:pt idx="4">
                  <c:v>-1.216</c:v>
                </c:pt>
                <c:pt idx="5">
                  <c:v>0.13800000000000001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41-4D2A-9A2F-054463F933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100"/>
        <c:axId val="478996944"/>
        <c:axId val="479000304"/>
      </c:barChart>
      <c:catAx>
        <c:axId val="478996944"/>
        <c:scaling>
          <c:orientation val="minMax"/>
        </c:scaling>
        <c:delete val="1"/>
        <c:axPos val="b"/>
        <c:majorTickMark val="none"/>
        <c:minorTickMark val="none"/>
        <c:tickLblPos val="nextTo"/>
        <c:crossAx val="479000304"/>
        <c:crosses val="autoZero"/>
        <c:auto val="1"/>
        <c:lblAlgn val="ctr"/>
        <c:lblOffset val="100"/>
        <c:noMultiLvlLbl val="0"/>
      </c:catAx>
      <c:valAx>
        <c:axId val="479000304"/>
        <c:scaling>
          <c:orientation val="minMax"/>
          <c:max val="12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nrope" pitchFamily="2" charset="0"/>
                <a:ea typeface="+mn-ea"/>
                <a:cs typeface="+mn-cs"/>
              </a:defRPr>
            </a:pPr>
            <a:endParaRPr lang="it-IT"/>
          </a:p>
        </c:txPr>
        <c:crossAx val="478996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085346482658357"/>
          <c:y val="0.88809237386993278"/>
          <c:w val="0.41088768031875661"/>
          <c:h val="8.41298483522893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nrope" pitchFamily="2" charset="0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Manrope" pitchFamily="2" charset="0"/>
        </a:defRPr>
      </a:pPr>
      <a:endParaRPr lang="it-IT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  <a:latin typeface="Manrope" pitchFamily="2" charset="0"/>
                <a:ea typeface="+mn-ea"/>
                <a:cs typeface="+mn-cs"/>
              </a:defRPr>
            </a:pPr>
            <a:r>
              <a:rPr lang="en-GB" sz="1400" b="1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  <a:latin typeface="Manrope" pitchFamily="2" charset="0"/>
              </a:rPr>
              <a:t>Exo vs Therapist, target angle of 45°, slow motion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rgbClr val="000000">
                  <a:lumMod val="65000"/>
                  <a:lumOff val="35000"/>
                </a:srgbClr>
              </a:solidFill>
              <a:latin typeface="Manrope" pitchFamily="2" charset="0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Graphs!$A$38</c:f>
              <c:strCache>
                <c:ptCount val="1"/>
                <c:pt idx="0">
                  <c:v>Exo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Graphs!$B$42:$D$42</c:f>
                <c:numCache>
                  <c:formatCode>General</c:formatCode>
                  <c:ptCount val="3"/>
                  <c:pt idx="0">
                    <c:v>1.2689999999999999</c:v>
                  </c:pt>
                  <c:pt idx="1">
                    <c:v>1.1819999999999999</c:v>
                  </c:pt>
                  <c:pt idx="2">
                    <c:v>1.2124999999999999</c:v>
                  </c:pt>
                </c:numCache>
              </c:numRef>
            </c:plus>
            <c:minus>
              <c:numRef>
                <c:f>Graphs!$B$42:$D$42</c:f>
                <c:numCache>
                  <c:formatCode>General</c:formatCode>
                  <c:ptCount val="3"/>
                  <c:pt idx="0">
                    <c:v>1.2689999999999999</c:v>
                  </c:pt>
                  <c:pt idx="1">
                    <c:v>1.1819999999999999</c:v>
                  </c:pt>
                  <c:pt idx="2">
                    <c:v>1.2124999999999999</c:v>
                  </c:pt>
                </c:numCache>
              </c:numRef>
            </c:minus>
            <c:spPr>
              <a:noFill/>
              <a:ln w="19050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Graphs!$B$38:$G$38</c:f>
              <c:numCache>
                <c:formatCode>General</c:formatCode>
                <c:ptCount val="6"/>
                <c:pt idx="0">
                  <c:v>40.914999999999999</c:v>
                </c:pt>
                <c:pt idx="1">
                  <c:v>40.356000000000002</c:v>
                </c:pt>
                <c:pt idx="2">
                  <c:v>41.701000000000001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59-4D9F-A40D-BAAAFD5C0D6B}"/>
            </c:ext>
          </c:extLst>
        </c:ser>
        <c:ser>
          <c:idx val="1"/>
          <c:order val="1"/>
          <c:tx>
            <c:strRef>
              <c:f>Graphs!$A$39</c:f>
              <c:strCache>
                <c:ptCount val="1"/>
                <c:pt idx="0">
                  <c:v>Therapist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Graphs!$B$43:$G$43</c:f>
                <c:numCache>
                  <c:formatCode>General</c:formatCode>
                  <c:ptCount val="6"/>
                  <c:pt idx="3">
                    <c:v>1.4795</c:v>
                  </c:pt>
                  <c:pt idx="4">
                    <c:v>1.8055000000000001</c:v>
                  </c:pt>
                  <c:pt idx="5">
                    <c:v>1.4305000000000001</c:v>
                  </c:pt>
                </c:numCache>
              </c:numRef>
            </c:plus>
            <c:minus>
              <c:numRef>
                <c:f>Graphs!$B$43:$G$43</c:f>
                <c:numCache>
                  <c:formatCode>General</c:formatCode>
                  <c:ptCount val="6"/>
                  <c:pt idx="3">
                    <c:v>1.4795</c:v>
                  </c:pt>
                  <c:pt idx="4">
                    <c:v>1.8055000000000001</c:v>
                  </c:pt>
                  <c:pt idx="5">
                    <c:v>1.4305000000000001</c:v>
                  </c:pt>
                </c:numCache>
              </c:numRef>
            </c:minus>
            <c:spPr>
              <a:noFill/>
              <a:ln w="19050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Graphs!$B$39:$G$39</c:f>
              <c:numCache>
                <c:formatCode>General</c:formatCode>
                <c:ptCount val="6"/>
                <c:pt idx="3">
                  <c:v>58.165999999999997</c:v>
                </c:pt>
                <c:pt idx="4">
                  <c:v>47.393999999999998</c:v>
                </c:pt>
                <c:pt idx="5">
                  <c:v>54.31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59-4D9F-A40D-BAAAFD5C0D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100"/>
        <c:axId val="478996944"/>
        <c:axId val="479000304"/>
      </c:barChart>
      <c:catAx>
        <c:axId val="478996944"/>
        <c:scaling>
          <c:orientation val="minMax"/>
        </c:scaling>
        <c:delete val="1"/>
        <c:axPos val="b"/>
        <c:majorTickMark val="none"/>
        <c:minorTickMark val="none"/>
        <c:tickLblPos val="nextTo"/>
        <c:crossAx val="479000304"/>
        <c:crosses val="autoZero"/>
        <c:auto val="1"/>
        <c:lblAlgn val="ctr"/>
        <c:lblOffset val="100"/>
        <c:noMultiLvlLbl val="0"/>
      </c:catAx>
      <c:valAx>
        <c:axId val="479000304"/>
        <c:scaling>
          <c:orientation val="minMax"/>
          <c:max val="60"/>
          <c:min val="3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  <a:latin typeface="Manrope" pitchFamily="2" charset="0"/>
                  </a:rPr>
                  <a:t>Angle [°]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rgbClr val="000000">
                      <a:lumMod val="65000"/>
                      <a:lumOff val="35000"/>
                    </a:srgb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nrope" pitchFamily="2" charset="0"/>
                <a:ea typeface="+mn-ea"/>
                <a:cs typeface="+mn-cs"/>
              </a:defRPr>
            </a:pPr>
            <a:endParaRPr lang="it-IT"/>
          </a:p>
        </c:txPr>
        <c:crossAx val="478996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5897533377470577"/>
          <c:y val="0.89409667541557303"/>
          <c:w val="0.31205445425410888"/>
          <c:h val="8.41191464048938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nrope" pitchFamily="2" charset="0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nrope" pitchFamily="2" charset="0"/>
                <a:ea typeface="+mn-ea"/>
                <a:cs typeface="+mn-cs"/>
              </a:defRPr>
            </a:pPr>
            <a:r>
              <a:rPr lang="en-GB"/>
              <a:t>Soggetto 1 Robot vs Terapista, LIFT 45°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nrope" pitchFamily="2" charset="0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Graphs!$A$47</c:f>
              <c:strCache>
                <c:ptCount val="1"/>
                <c:pt idx="0">
                  <c:v>EXO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Graphs!$B$51:$D$51</c:f>
                <c:numCache>
                  <c:formatCode>General</c:formatCode>
                  <c:ptCount val="3"/>
                  <c:pt idx="0">
                    <c:v>1.3105</c:v>
                  </c:pt>
                  <c:pt idx="1">
                    <c:v>1.2985</c:v>
                  </c:pt>
                  <c:pt idx="2">
                    <c:v>1.7270000000000001</c:v>
                  </c:pt>
                </c:numCache>
              </c:numRef>
            </c:plus>
            <c:minus>
              <c:numRef>
                <c:f>Graphs!$B$51:$D$51</c:f>
                <c:numCache>
                  <c:formatCode>General</c:formatCode>
                  <c:ptCount val="3"/>
                  <c:pt idx="0">
                    <c:v>1.3105</c:v>
                  </c:pt>
                  <c:pt idx="1">
                    <c:v>1.2985</c:v>
                  </c:pt>
                  <c:pt idx="2">
                    <c:v>1.7270000000000001</c:v>
                  </c:pt>
                </c:numCache>
              </c:numRef>
            </c:minus>
            <c:spPr>
              <a:noFill/>
              <a:ln w="19050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Graphs!$B$47:$G$47</c:f>
              <c:numCache>
                <c:formatCode>General</c:formatCode>
                <c:ptCount val="6"/>
                <c:pt idx="0">
                  <c:v>2.3839999999999999</c:v>
                </c:pt>
                <c:pt idx="1">
                  <c:v>2.371</c:v>
                </c:pt>
                <c:pt idx="2">
                  <c:v>1.3420000000000001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0D-430F-A27C-C8B986A929DE}"/>
            </c:ext>
          </c:extLst>
        </c:ser>
        <c:ser>
          <c:idx val="1"/>
          <c:order val="1"/>
          <c:tx>
            <c:strRef>
              <c:f>Graphs!$A$48</c:f>
              <c:strCache>
                <c:ptCount val="1"/>
                <c:pt idx="0">
                  <c:v>Therapist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Graphs!$B$52:$G$52</c:f>
                <c:numCache>
                  <c:formatCode>General</c:formatCode>
                  <c:ptCount val="6"/>
                  <c:pt idx="3">
                    <c:v>2.1604999999999999</c:v>
                  </c:pt>
                  <c:pt idx="4">
                    <c:v>3.3645</c:v>
                  </c:pt>
                  <c:pt idx="5">
                    <c:v>1.9530000000000001</c:v>
                  </c:pt>
                </c:numCache>
              </c:numRef>
            </c:plus>
            <c:minus>
              <c:numRef>
                <c:f>Graphs!$B$52:$G$52</c:f>
                <c:numCache>
                  <c:formatCode>General</c:formatCode>
                  <c:ptCount val="6"/>
                  <c:pt idx="3">
                    <c:v>2.1604999999999999</c:v>
                  </c:pt>
                  <c:pt idx="4">
                    <c:v>3.3645</c:v>
                  </c:pt>
                  <c:pt idx="5">
                    <c:v>1.9530000000000001</c:v>
                  </c:pt>
                </c:numCache>
              </c:numRef>
            </c:minus>
            <c:spPr>
              <a:noFill/>
              <a:ln w="19050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Graphs!$B$48:$G$48</c:f>
              <c:numCache>
                <c:formatCode>General</c:formatCode>
                <c:ptCount val="6"/>
                <c:pt idx="3">
                  <c:v>13.680999999999999</c:v>
                </c:pt>
                <c:pt idx="4">
                  <c:v>17.585000000000001</c:v>
                </c:pt>
                <c:pt idx="5">
                  <c:v>-1.238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0D-430F-A27C-C8B986A929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100"/>
        <c:axId val="478996944"/>
        <c:axId val="479000304"/>
      </c:barChart>
      <c:catAx>
        <c:axId val="478996944"/>
        <c:scaling>
          <c:orientation val="minMax"/>
        </c:scaling>
        <c:delete val="1"/>
        <c:axPos val="b"/>
        <c:majorTickMark val="none"/>
        <c:minorTickMark val="none"/>
        <c:tickLblPos val="nextTo"/>
        <c:crossAx val="479000304"/>
        <c:crosses val="autoZero"/>
        <c:auto val="1"/>
        <c:lblAlgn val="ctr"/>
        <c:lblOffset val="100"/>
        <c:noMultiLvlLbl val="0"/>
      </c:catAx>
      <c:valAx>
        <c:axId val="479000304"/>
        <c:scaling>
          <c:orientation val="minMax"/>
          <c:max val="25"/>
          <c:min val="-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nrope" pitchFamily="2" charset="0"/>
                <a:ea typeface="+mn-ea"/>
                <a:cs typeface="+mn-cs"/>
              </a:defRPr>
            </a:pPr>
            <a:endParaRPr lang="it-IT"/>
          </a:p>
        </c:txPr>
        <c:crossAx val="478996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7808395549651371"/>
          <c:y val="0.88809237386993278"/>
          <c:w val="0.31205445425410888"/>
          <c:h val="8.41298483522893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nrope" pitchFamily="2" charset="0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Manrope" pitchFamily="2" charset="0"/>
        </a:defRPr>
      </a:pPr>
      <a:endParaRPr lang="it-IT"/>
    </a:p>
  </c:txPr>
  <c:printSettings>
    <c:headerFooter/>
    <c:pageMargins b="0.75" l="0.7" r="0.7" t="0.75" header="0.3" footer="0.3"/>
    <c:pageSetup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  <a:latin typeface="Manrope" pitchFamily="2" charset="0"/>
                <a:ea typeface="+mn-ea"/>
                <a:cs typeface="+mn-cs"/>
              </a:defRPr>
            </a:pPr>
            <a:r>
              <a:rPr lang="en-GB" sz="1400" b="1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  <a:latin typeface="Manrope" pitchFamily="2" charset="0"/>
              </a:rPr>
              <a:t>Exo vs Therapist, target angle of 90°, fast motion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rgbClr val="000000">
                  <a:lumMod val="65000"/>
                  <a:lumOff val="35000"/>
                </a:srgbClr>
              </a:solidFill>
              <a:latin typeface="Manrope" pitchFamily="2" charset="0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Graphs!$A$56</c:f>
              <c:strCache>
                <c:ptCount val="1"/>
                <c:pt idx="0">
                  <c:v>Exo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Graphs!$B$60:$D$60</c:f>
                <c:numCache>
                  <c:formatCode>General</c:formatCode>
                  <c:ptCount val="3"/>
                  <c:pt idx="0">
                    <c:v>1.3505</c:v>
                  </c:pt>
                  <c:pt idx="1">
                    <c:v>1.1419999999999999</c:v>
                  </c:pt>
                  <c:pt idx="2">
                    <c:v>1.863</c:v>
                  </c:pt>
                </c:numCache>
              </c:numRef>
            </c:plus>
            <c:minus>
              <c:numRef>
                <c:f>Graphs!$B$60:$D$60</c:f>
                <c:numCache>
                  <c:formatCode>General</c:formatCode>
                  <c:ptCount val="3"/>
                  <c:pt idx="0">
                    <c:v>1.3505</c:v>
                  </c:pt>
                  <c:pt idx="1">
                    <c:v>1.1419999999999999</c:v>
                  </c:pt>
                  <c:pt idx="2">
                    <c:v>1.863</c:v>
                  </c:pt>
                </c:numCache>
              </c:numRef>
            </c:minus>
            <c:spPr>
              <a:noFill/>
              <a:ln w="19050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Graphs!$B$56:$G$56</c:f>
              <c:numCache>
                <c:formatCode>General</c:formatCode>
                <c:ptCount val="6"/>
                <c:pt idx="0">
                  <c:v>85.86</c:v>
                </c:pt>
                <c:pt idx="1">
                  <c:v>87.283000000000001</c:v>
                </c:pt>
                <c:pt idx="2">
                  <c:v>86.131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F6-4C86-BE5E-FD72386BEB38}"/>
            </c:ext>
          </c:extLst>
        </c:ser>
        <c:ser>
          <c:idx val="1"/>
          <c:order val="1"/>
          <c:tx>
            <c:strRef>
              <c:f>Graphs!$A$57</c:f>
              <c:strCache>
                <c:ptCount val="1"/>
                <c:pt idx="0">
                  <c:v>Therapist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Graphs!$B$61:$G$61</c:f>
                <c:numCache>
                  <c:formatCode>General</c:formatCode>
                  <c:ptCount val="6"/>
                  <c:pt idx="3">
                    <c:v>1.1365000000000001</c:v>
                  </c:pt>
                  <c:pt idx="4">
                    <c:v>1.4019999999999999</c:v>
                  </c:pt>
                  <c:pt idx="5">
                    <c:v>16.489999999999998</c:v>
                  </c:pt>
                </c:numCache>
              </c:numRef>
            </c:plus>
            <c:minus>
              <c:numRef>
                <c:f>Graphs!$B$61:$G$61</c:f>
                <c:numCache>
                  <c:formatCode>General</c:formatCode>
                  <c:ptCount val="6"/>
                  <c:pt idx="3">
                    <c:v>1.1365000000000001</c:v>
                  </c:pt>
                  <c:pt idx="4">
                    <c:v>1.4019999999999999</c:v>
                  </c:pt>
                  <c:pt idx="5">
                    <c:v>16.489999999999998</c:v>
                  </c:pt>
                </c:numCache>
              </c:numRef>
            </c:minus>
            <c:spPr>
              <a:noFill/>
              <a:ln w="19050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Graphs!$B$57:$G$57</c:f>
              <c:numCache>
                <c:formatCode>General</c:formatCode>
                <c:ptCount val="6"/>
                <c:pt idx="3">
                  <c:v>105.902</c:v>
                </c:pt>
                <c:pt idx="4">
                  <c:v>106.767</c:v>
                </c:pt>
                <c:pt idx="5">
                  <c:v>84.813000000000002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F6-4C86-BE5E-FD72386BEB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100"/>
        <c:axId val="478996944"/>
        <c:axId val="479000304"/>
      </c:barChart>
      <c:catAx>
        <c:axId val="478996944"/>
        <c:scaling>
          <c:orientation val="minMax"/>
        </c:scaling>
        <c:delete val="1"/>
        <c:axPos val="b"/>
        <c:majorTickMark val="none"/>
        <c:minorTickMark val="none"/>
        <c:tickLblPos val="nextTo"/>
        <c:crossAx val="479000304"/>
        <c:crosses val="autoZero"/>
        <c:auto val="1"/>
        <c:lblAlgn val="ctr"/>
        <c:lblOffset val="100"/>
        <c:noMultiLvlLbl val="0"/>
      </c:catAx>
      <c:valAx>
        <c:axId val="479000304"/>
        <c:scaling>
          <c:orientation val="minMax"/>
          <c:max val="110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  <a:latin typeface="Manrope" pitchFamily="2" charset="0"/>
                  </a:rPr>
                  <a:t>Angle [°]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nrope" pitchFamily="2" charset="0"/>
                <a:ea typeface="+mn-ea"/>
                <a:cs typeface="+mn-cs"/>
              </a:defRPr>
            </a:pPr>
            <a:endParaRPr lang="it-IT"/>
          </a:p>
        </c:txPr>
        <c:crossAx val="478996944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5897533377470577"/>
          <c:y val="0.89409667541557303"/>
          <c:w val="0.31205445425410888"/>
          <c:h val="8.41191464048938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nrope" pitchFamily="2" charset="0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nrope" pitchFamily="2" charset="0"/>
                <a:ea typeface="+mn-ea"/>
                <a:cs typeface="+mn-cs"/>
              </a:defRPr>
            </a:pPr>
            <a:r>
              <a:rPr lang="en-GB"/>
              <a:t>Soggetto 1 Robot vs Terapista, LIFT 2x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nrope" pitchFamily="2" charset="0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Graphs!$A$65</c:f>
              <c:strCache>
                <c:ptCount val="1"/>
                <c:pt idx="0">
                  <c:v>EXO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Graphs!$B$69:$D$69</c:f>
                <c:numCache>
                  <c:formatCode>General</c:formatCode>
                  <c:ptCount val="3"/>
                  <c:pt idx="0">
                    <c:v>1.4470000000000001</c:v>
                  </c:pt>
                  <c:pt idx="1">
                    <c:v>1.98</c:v>
                  </c:pt>
                  <c:pt idx="2">
                    <c:v>1.1020000000000001</c:v>
                  </c:pt>
                </c:numCache>
              </c:numRef>
            </c:plus>
            <c:minus>
              <c:numRef>
                <c:f>Graphs!$B$69:$D$69</c:f>
                <c:numCache>
                  <c:formatCode>General</c:formatCode>
                  <c:ptCount val="3"/>
                  <c:pt idx="0">
                    <c:v>1.4470000000000001</c:v>
                  </c:pt>
                  <c:pt idx="1">
                    <c:v>1.98</c:v>
                  </c:pt>
                  <c:pt idx="2">
                    <c:v>1.1020000000000001</c:v>
                  </c:pt>
                </c:numCache>
              </c:numRef>
            </c:minus>
            <c:spPr>
              <a:noFill/>
              <a:ln w="19050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Graphs!$B$65:$G$65</c:f>
              <c:numCache>
                <c:formatCode>General</c:formatCode>
                <c:ptCount val="6"/>
                <c:pt idx="0">
                  <c:v>0.20499999999999999</c:v>
                </c:pt>
                <c:pt idx="1">
                  <c:v>1.103</c:v>
                </c:pt>
                <c:pt idx="2">
                  <c:v>1.6379999999999999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49-4380-B5E4-D34259BBEA79}"/>
            </c:ext>
          </c:extLst>
        </c:ser>
        <c:ser>
          <c:idx val="1"/>
          <c:order val="1"/>
          <c:tx>
            <c:strRef>
              <c:f>Graphs!$A$66</c:f>
              <c:strCache>
                <c:ptCount val="1"/>
                <c:pt idx="0">
                  <c:v>Therapist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Graphs!$B$70:$G$70</c:f>
                <c:numCache>
                  <c:formatCode>General</c:formatCode>
                  <c:ptCount val="6"/>
                  <c:pt idx="3">
                    <c:v>1.5665</c:v>
                  </c:pt>
                  <c:pt idx="4">
                    <c:v>1.2190000000000001</c:v>
                  </c:pt>
                  <c:pt idx="5">
                    <c:v>0.91949999999999998</c:v>
                  </c:pt>
                </c:numCache>
              </c:numRef>
            </c:plus>
            <c:minus>
              <c:numRef>
                <c:f>Graphs!$B$70:$G$70</c:f>
                <c:numCache>
                  <c:formatCode>General</c:formatCode>
                  <c:ptCount val="6"/>
                  <c:pt idx="3">
                    <c:v>1.5665</c:v>
                  </c:pt>
                  <c:pt idx="4">
                    <c:v>1.2190000000000001</c:v>
                  </c:pt>
                  <c:pt idx="5">
                    <c:v>0.91949999999999998</c:v>
                  </c:pt>
                </c:numCache>
              </c:numRef>
            </c:minus>
            <c:spPr>
              <a:noFill/>
              <a:ln w="19050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Graphs!$B$66:$G$66</c:f>
              <c:numCache>
                <c:formatCode>General</c:formatCode>
                <c:ptCount val="6"/>
                <c:pt idx="3">
                  <c:v>0.129</c:v>
                </c:pt>
                <c:pt idx="4">
                  <c:v>-2.004</c:v>
                </c:pt>
                <c:pt idx="5">
                  <c:v>-0.66500000000000004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49-4380-B5E4-D34259BBEA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100"/>
        <c:axId val="478996944"/>
        <c:axId val="479000304"/>
      </c:barChart>
      <c:catAx>
        <c:axId val="478996944"/>
        <c:scaling>
          <c:orientation val="minMax"/>
        </c:scaling>
        <c:delete val="1"/>
        <c:axPos val="b"/>
        <c:majorTickMark val="none"/>
        <c:minorTickMark val="none"/>
        <c:tickLblPos val="nextTo"/>
        <c:crossAx val="479000304"/>
        <c:crosses val="autoZero"/>
        <c:auto val="1"/>
        <c:lblAlgn val="ctr"/>
        <c:lblOffset val="100"/>
        <c:noMultiLvlLbl val="0"/>
      </c:catAx>
      <c:valAx>
        <c:axId val="479000304"/>
        <c:scaling>
          <c:orientation val="minMax"/>
          <c:max val="4"/>
          <c:min val="-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nrope" pitchFamily="2" charset="0"/>
                <a:ea typeface="+mn-ea"/>
                <a:cs typeface="+mn-cs"/>
              </a:defRPr>
            </a:pPr>
            <a:endParaRPr lang="it-IT"/>
          </a:p>
        </c:txPr>
        <c:crossAx val="478996944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7808395549651371"/>
          <c:y val="0.88809237386993278"/>
          <c:w val="0.31205445425410888"/>
          <c:h val="8.41298483522893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nrope" pitchFamily="2" charset="0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Manrope" pitchFamily="2" charset="0"/>
        </a:defRPr>
      </a:pPr>
      <a:endParaRPr lang="it-IT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163931</xdr:colOff>
      <xdr:row>0</xdr:row>
      <xdr:rowOff>128062</xdr:rowOff>
    </xdr:from>
    <xdr:to>
      <xdr:col>14</xdr:col>
      <xdr:colOff>397229</xdr:colOff>
      <xdr:row>14</xdr:row>
      <xdr:rowOff>5267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EFD7BA0-A79A-6FB4-49D6-F48BFB518B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7639</xdr:colOff>
      <xdr:row>0</xdr:row>
      <xdr:rowOff>135558</xdr:rowOff>
    </xdr:from>
    <xdr:to>
      <xdr:col>20</xdr:col>
      <xdr:colOff>226778</xdr:colOff>
      <xdr:row>14</xdr:row>
      <xdr:rowOff>12414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3D3CA8E-E2D8-52EB-21FF-6E4827BAA9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111372</xdr:colOff>
      <xdr:row>18</xdr:row>
      <xdr:rowOff>28051</xdr:rowOff>
    </xdr:from>
    <xdr:to>
      <xdr:col>15</xdr:col>
      <xdr:colOff>4762</xdr:colOff>
      <xdr:row>33</xdr:row>
      <xdr:rowOff>114299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D2D8AA19-6B43-475D-AA23-9E8E8ED80A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66297</xdr:colOff>
      <xdr:row>17</xdr:row>
      <xdr:rowOff>165495</xdr:rowOff>
    </xdr:from>
    <xdr:to>
      <xdr:col>20</xdr:col>
      <xdr:colOff>293601</xdr:colOff>
      <xdr:row>31</xdr:row>
      <xdr:rowOff>41670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C95BB30B-15A3-46E1-A9D7-046E94013E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142704</xdr:colOff>
      <xdr:row>35</xdr:row>
      <xdr:rowOff>190393</xdr:rowOff>
    </xdr:from>
    <xdr:to>
      <xdr:col>14</xdr:col>
      <xdr:colOff>375780</xdr:colOff>
      <xdr:row>49</xdr:row>
      <xdr:rowOff>67598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AEE29515-8DA0-4253-8D0B-5F7093F00C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95697</xdr:colOff>
      <xdr:row>36</xdr:row>
      <xdr:rowOff>20063</xdr:rowOff>
    </xdr:from>
    <xdr:to>
      <xdr:col>20</xdr:col>
      <xdr:colOff>326679</xdr:colOff>
      <xdr:row>49</xdr:row>
      <xdr:rowOff>99867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C329BA36-520E-4B3D-B303-98314F417D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224000</xdr:colOff>
      <xdr:row>54</xdr:row>
      <xdr:rowOff>27057</xdr:rowOff>
    </xdr:from>
    <xdr:to>
      <xdr:col>14</xdr:col>
      <xdr:colOff>454981</xdr:colOff>
      <xdr:row>67</xdr:row>
      <xdr:rowOff>110207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A9F207DF-63B9-406B-9FA8-4D82EEFA52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95698</xdr:colOff>
      <xdr:row>54</xdr:row>
      <xdr:rowOff>2575</xdr:rowOff>
    </xdr:from>
    <xdr:to>
      <xdr:col>20</xdr:col>
      <xdr:colOff>326680</xdr:colOff>
      <xdr:row>67</xdr:row>
      <xdr:rowOff>84218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13D3D1DA-09B7-4B1E-B6FF-FA11891EBF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0.57249</cdr:x>
      <cdr:y>0.90328</cdr:y>
    </cdr:from>
    <cdr:to>
      <cdr:x>0.71487</cdr:x>
      <cdr:y>0.96725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F6DC9B9F-2B6E-D62F-2207-7214FB0A3A8C}"/>
            </a:ext>
          </a:extLst>
        </cdr:cNvPr>
        <cdr:cNvSpPr txBox="1"/>
      </cdr:nvSpPr>
      <cdr:spPr>
        <a:xfrm xmlns:a="http://schemas.openxmlformats.org/drawingml/2006/main">
          <a:off x="1981509" y="2456001"/>
          <a:ext cx="492815" cy="17393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GB" sz="1100" kern="1200"/>
        </a:p>
      </cdr:txBody>
    </cdr:sp>
  </cdr:relSizeAnchor>
  <cdr:relSizeAnchor xmlns:cdr="http://schemas.openxmlformats.org/drawingml/2006/chartDrawing">
    <cdr:from>
      <cdr:x>0.01468</cdr:x>
      <cdr:y>0.01868</cdr:y>
    </cdr:from>
    <cdr:to>
      <cdr:x>0.18494</cdr:x>
      <cdr:y>0.10785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3E1E5D0A-B310-8A53-19CA-898EA5F9422B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589313" cy="24244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 sz="1100" kern="1200">
            <a:solidFill>
              <a:schemeClr val="tx1">
                <a:lumMod val="65000"/>
                <a:lumOff val="35000"/>
              </a:schemeClr>
            </a:solidFill>
            <a:latin typeface="Manrope" pitchFamily="2" charset="0"/>
          </a:endParaRPr>
        </a:p>
      </cdr:txBody>
    </cdr:sp>
  </cdr:relSizeAnchor>
  <cdr:relSizeAnchor xmlns:cdr="http://schemas.openxmlformats.org/drawingml/2006/chartDrawing">
    <cdr:from>
      <cdr:x>0.58227</cdr:x>
      <cdr:y>0.93512</cdr:y>
    </cdr:from>
    <cdr:to>
      <cdr:x>0.62224</cdr:x>
      <cdr:y>0.93512</cdr:y>
    </cdr:to>
    <cdr:cxnSp macro="">
      <cdr:nvCxnSpPr>
        <cdr:cNvPr id="4" name="Straight Connector 3">
          <a:extLst xmlns:a="http://schemas.openxmlformats.org/drawingml/2006/main">
            <a:ext uri="{FF2B5EF4-FFF2-40B4-BE49-F238E27FC236}">
              <a16:creationId xmlns:a16="http://schemas.microsoft.com/office/drawing/2014/main" id="{A5181D43-FA72-2330-FD88-AA2D4E5A4A3D}"/>
            </a:ext>
          </a:extLst>
        </cdr:cNvPr>
        <cdr:cNvCxnSpPr/>
      </cdr:nvCxnSpPr>
      <cdr:spPr>
        <a:xfrm xmlns:a="http://schemas.openxmlformats.org/drawingml/2006/main">
          <a:off x="2021828" y="2579800"/>
          <a:ext cx="138790" cy="0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tx1">
              <a:lumMod val="65000"/>
              <a:lumOff val="35000"/>
            </a:scheme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0.59993</cdr:x>
      <cdr:y>0.88719</cdr:y>
    </cdr:from>
    <cdr:to>
      <cdr:x>0.76967</cdr:x>
      <cdr:y>0.97572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17869A72-A03A-262B-1D91-195677D00A47}"/>
            </a:ext>
          </a:extLst>
        </cdr:cNvPr>
        <cdr:cNvSpPr txBox="1"/>
      </cdr:nvSpPr>
      <cdr:spPr>
        <a:xfrm xmlns:a="http://schemas.openxmlformats.org/drawingml/2006/main">
          <a:off x="2083150" y="2447571"/>
          <a:ext cx="589394" cy="24423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900" kern="1200">
              <a:solidFill>
                <a:schemeClr val="tx1">
                  <a:lumMod val="65000"/>
                  <a:lumOff val="35000"/>
                </a:schemeClr>
              </a:solidFill>
              <a:latin typeface="Manrope" pitchFamily="2" charset="0"/>
            </a:rPr>
            <a:t> IQR </a:t>
          </a:r>
          <a:endParaRPr lang="en-US" sz="1100" kern="1200">
            <a:solidFill>
              <a:schemeClr val="tx1">
                <a:lumMod val="65000"/>
                <a:lumOff val="35000"/>
              </a:schemeClr>
            </a:solidFill>
            <a:latin typeface="Manrope" pitchFamily="2" charset="0"/>
          </a:endParaRPr>
        </a:p>
      </cdr:txBody>
    </cdr:sp>
  </cdr:relSizeAnchor>
  <cdr:relSizeAnchor xmlns:cdr="http://schemas.openxmlformats.org/drawingml/2006/chartDrawing">
    <cdr:from>
      <cdr:x>0.16892</cdr:x>
      <cdr:y>0.26933</cdr:y>
    </cdr:from>
    <cdr:to>
      <cdr:x>0.97077</cdr:x>
      <cdr:y>0.26933</cdr:y>
    </cdr:to>
    <cdr:cxnSp macro="">
      <cdr:nvCxnSpPr>
        <cdr:cNvPr id="6" name="Straight Connector 5">
          <a:extLst xmlns:a="http://schemas.openxmlformats.org/drawingml/2006/main">
            <a:ext uri="{FF2B5EF4-FFF2-40B4-BE49-F238E27FC236}">
              <a16:creationId xmlns:a16="http://schemas.microsoft.com/office/drawing/2014/main" id="{57525CAA-C2D7-9347-3F3F-F2062557091D}"/>
            </a:ext>
          </a:extLst>
        </cdr:cNvPr>
        <cdr:cNvCxnSpPr/>
      </cdr:nvCxnSpPr>
      <cdr:spPr>
        <a:xfrm xmlns:a="http://schemas.openxmlformats.org/drawingml/2006/main">
          <a:off x="587092" y="740194"/>
          <a:ext cx="2786791" cy="0"/>
        </a:xfrm>
        <a:prstGeom xmlns:a="http://schemas.openxmlformats.org/drawingml/2006/main" prst="line">
          <a:avLst/>
        </a:prstGeom>
        <a:ln xmlns:a="http://schemas.openxmlformats.org/drawingml/2006/main" w="12700"/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0.59926</cdr:x>
      <cdr:y>0.92756</cdr:y>
    </cdr:from>
    <cdr:to>
      <cdr:x>0.63924</cdr:x>
      <cdr:y>0.92756</cdr:y>
    </cdr:to>
    <cdr:cxnSp macro="">
      <cdr:nvCxnSpPr>
        <cdr:cNvPr id="2" name="Straight Connector 1">
          <a:extLst xmlns:a="http://schemas.openxmlformats.org/drawingml/2006/main">
            <a:ext uri="{FF2B5EF4-FFF2-40B4-BE49-F238E27FC236}">
              <a16:creationId xmlns:a16="http://schemas.microsoft.com/office/drawing/2014/main" id="{D406ED7D-218A-4472-DBC5-839C7E02D59E}"/>
            </a:ext>
          </a:extLst>
        </cdr:cNvPr>
        <cdr:cNvCxnSpPr/>
      </cdr:nvCxnSpPr>
      <cdr:spPr>
        <a:xfrm xmlns:a="http://schemas.openxmlformats.org/drawingml/2006/main">
          <a:off x="2014943" y="2545114"/>
          <a:ext cx="134428" cy="0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tx1">
              <a:lumMod val="65000"/>
              <a:lumOff val="35000"/>
            </a:scheme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0.61394</cdr:x>
      <cdr:y>0.87963</cdr:y>
    </cdr:from>
    <cdr:to>
      <cdr:x>0.78368</cdr:x>
      <cdr:y>0.96149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F6AD9C3A-28A1-289E-BFD7-99E1F235F904}"/>
            </a:ext>
          </a:extLst>
        </cdr:cNvPr>
        <cdr:cNvSpPr txBox="1"/>
      </cdr:nvSpPr>
      <cdr:spPr>
        <a:xfrm xmlns:a="http://schemas.openxmlformats.org/drawingml/2006/main">
          <a:off x="2134441" y="2420332"/>
          <a:ext cx="590122" cy="22523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900" kern="1200">
              <a:solidFill>
                <a:schemeClr val="tx1">
                  <a:lumMod val="65000"/>
                  <a:lumOff val="35000"/>
                </a:schemeClr>
              </a:solidFill>
              <a:latin typeface="Manrope" pitchFamily="2" charset="0"/>
            </a:rPr>
            <a:t> IQR </a:t>
          </a:r>
          <a:endParaRPr lang="en-US" sz="1100" kern="1200">
            <a:solidFill>
              <a:schemeClr val="tx1">
                <a:lumMod val="65000"/>
                <a:lumOff val="35000"/>
              </a:schemeClr>
            </a:solidFill>
            <a:latin typeface="Manrope" pitchFamily="2" charset="0"/>
          </a:endParaRPr>
        </a:p>
      </cdr:txBody>
    </cdr:sp>
  </cdr:relSizeAnchor>
  <cdr:relSizeAnchor xmlns:cdr="http://schemas.openxmlformats.org/drawingml/2006/chartDrawing">
    <cdr:from>
      <cdr:x>0.16628</cdr:x>
      <cdr:y>0.75422</cdr:y>
    </cdr:from>
    <cdr:to>
      <cdr:x>0.98355</cdr:x>
      <cdr:y>0.75769</cdr:y>
    </cdr:to>
    <cdr:cxnSp macro="">
      <cdr:nvCxnSpPr>
        <cdr:cNvPr id="4" name="Straight Connector 3">
          <a:extLst xmlns:a="http://schemas.openxmlformats.org/drawingml/2006/main">
            <a:ext uri="{FF2B5EF4-FFF2-40B4-BE49-F238E27FC236}">
              <a16:creationId xmlns:a16="http://schemas.microsoft.com/office/drawing/2014/main" id="{85F56213-6EC0-A212-16F8-722B7BD9DAFE}"/>
            </a:ext>
          </a:extLst>
        </cdr:cNvPr>
        <cdr:cNvCxnSpPr/>
      </cdr:nvCxnSpPr>
      <cdr:spPr>
        <a:xfrm xmlns:a="http://schemas.openxmlformats.org/drawingml/2006/main">
          <a:off x="559098" y="2069480"/>
          <a:ext cx="2747963" cy="9525"/>
        </a:xfrm>
        <a:prstGeom xmlns:a="http://schemas.openxmlformats.org/drawingml/2006/main" prst="line">
          <a:avLst/>
        </a:prstGeom>
        <a:ln xmlns:a="http://schemas.openxmlformats.org/drawingml/2006/main" w="12700"/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0.57249</cdr:x>
      <cdr:y>0.90328</cdr:y>
    </cdr:from>
    <cdr:to>
      <cdr:x>0.71487</cdr:x>
      <cdr:y>0.96725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F6DC9B9F-2B6E-D62F-2207-7214FB0A3A8C}"/>
            </a:ext>
          </a:extLst>
        </cdr:cNvPr>
        <cdr:cNvSpPr txBox="1"/>
      </cdr:nvSpPr>
      <cdr:spPr>
        <a:xfrm xmlns:a="http://schemas.openxmlformats.org/drawingml/2006/main">
          <a:off x="1981509" y="2456001"/>
          <a:ext cx="492815" cy="17393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GB" sz="1100" kern="1200"/>
        </a:p>
      </cdr:txBody>
    </cdr:sp>
  </cdr:relSizeAnchor>
  <cdr:relSizeAnchor xmlns:cdr="http://schemas.openxmlformats.org/drawingml/2006/chartDrawing">
    <cdr:from>
      <cdr:x>0.01468</cdr:x>
      <cdr:y>0.01868</cdr:y>
    </cdr:from>
    <cdr:to>
      <cdr:x>0.18494</cdr:x>
      <cdr:y>0.10785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3E1E5D0A-B310-8A53-19CA-898EA5F9422B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589313" cy="24244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 sz="1100" kern="1200">
            <a:solidFill>
              <a:schemeClr val="tx1">
                <a:lumMod val="65000"/>
                <a:lumOff val="35000"/>
              </a:schemeClr>
            </a:solidFill>
            <a:latin typeface="Manrope" pitchFamily="2" charset="0"/>
          </a:endParaRPr>
        </a:p>
      </cdr:txBody>
    </cdr:sp>
  </cdr:relSizeAnchor>
  <cdr:relSizeAnchor xmlns:cdr="http://schemas.openxmlformats.org/drawingml/2006/chartDrawing">
    <cdr:from>
      <cdr:x>0.63773</cdr:x>
      <cdr:y>0.93165</cdr:y>
    </cdr:from>
    <cdr:to>
      <cdr:x>0.6777</cdr:x>
      <cdr:y>0.93165</cdr:y>
    </cdr:to>
    <cdr:cxnSp macro="">
      <cdr:nvCxnSpPr>
        <cdr:cNvPr id="4" name="Straight Connector 3">
          <a:extLst xmlns:a="http://schemas.openxmlformats.org/drawingml/2006/main">
            <a:ext uri="{FF2B5EF4-FFF2-40B4-BE49-F238E27FC236}">
              <a16:creationId xmlns:a16="http://schemas.microsoft.com/office/drawing/2014/main" id="{A5181D43-FA72-2330-FD88-AA2D4E5A4A3D}"/>
            </a:ext>
          </a:extLst>
        </cdr:cNvPr>
        <cdr:cNvCxnSpPr/>
      </cdr:nvCxnSpPr>
      <cdr:spPr>
        <a:xfrm xmlns:a="http://schemas.openxmlformats.org/drawingml/2006/main">
          <a:off x="2212607" y="2556023"/>
          <a:ext cx="138675" cy="0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tx1">
              <a:lumMod val="65000"/>
              <a:lumOff val="35000"/>
            </a:scheme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0.65951</cdr:x>
      <cdr:y>0.88717</cdr:y>
    </cdr:from>
    <cdr:to>
      <cdr:x>0.82925</cdr:x>
      <cdr:y>0.9757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17869A72-A03A-262B-1D91-195677D00A47}"/>
            </a:ext>
          </a:extLst>
        </cdr:cNvPr>
        <cdr:cNvSpPr txBox="1"/>
      </cdr:nvSpPr>
      <cdr:spPr>
        <a:xfrm xmlns:a="http://schemas.openxmlformats.org/drawingml/2006/main">
          <a:off x="2288165" y="2433986"/>
          <a:ext cx="588909" cy="24288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900" kern="1200">
              <a:solidFill>
                <a:schemeClr val="tx1">
                  <a:lumMod val="65000"/>
                  <a:lumOff val="35000"/>
                </a:schemeClr>
              </a:solidFill>
              <a:latin typeface="Manrope" pitchFamily="2" charset="0"/>
            </a:rPr>
            <a:t> IQR </a:t>
          </a:r>
          <a:endParaRPr lang="en-US" sz="1100" kern="1200">
            <a:solidFill>
              <a:schemeClr val="tx1">
                <a:lumMod val="65000"/>
                <a:lumOff val="35000"/>
              </a:schemeClr>
            </a:solidFill>
            <a:latin typeface="Manrope" pitchFamily="2" charset="0"/>
          </a:endParaRPr>
        </a:p>
      </cdr:txBody>
    </cdr:sp>
  </cdr:relSizeAnchor>
  <cdr:relSizeAnchor xmlns:cdr="http://schemas.openxmlformats.org/drawingml/2006/chartDrawing">
    <cdr:from>
      <cdr:x>0.17661</cdr:x>
      <cdr:y>0.23555</cdr:y>
    </cdr:from>
    <cdr:to>
      <cdr:x>0.97846</cdr:x>
      <cdr:y>0.23555</cdr:y>
    </cdr:to>
    <cdr:cxnSp macro="">
      <cdr:nvCxnSpPr>
        <cdr:cNvPr id="6" name="Straight Connector 5">
          <a:extLst xmlns:a="http://schemas.openxmlformats.org/drawingml/2006/main">
            <a:ext uri="{FF2B5EF4-FFF2-40B4-BE49-F238E27FC236}">
              <a16:creationId xmlns:a16="http://schemas.microsoft.com/office/drawing/2014/main" id="{41B7FD3B-3C63-DEE2-0132-2C9855B5CABC}"/>
            </a:ext>
          </a:extLst>
        </cdr:cNvPr>
        <cdr:cNvCxnSpPr/>
      </cdr:nvCxnSpPr>
      <cdr:spPr>
        <a:xfrm xmlns:a="http://schemas.openxmlformats.org/drawingml/2006/main">
          <a:off x="647314" y="743897"/>
          <a:ext cx="2939013" cy="0"/>
        </a:xfrm>
        <a:prstGeom xmlns:a="http://schemas.openxmlformats.org/drawingml/2006/main" prst="line">
          <a:avLst/>
        </a:prstGeom>
        <a:ln xmlns:a="http://schemas.openxmlformats.org/drawingml/2006/main" w="12700"/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0.62658</cdr:x>
      <cdr:y>0.92756</cdr:y>
    </cdr:from>
    <cdr:to>
      <cdr:x>0.66656</cdr:x>
      <cdr:y>0.92756</cdr:y>
    </cdr:to>
    <cdr:cxnSp macro="">
      <cdr:nvCxnSpPr>
        <cdr:cNvPr id="2" name="Straight Connector 1">
          <a:extLst xmlns:a="http://schemas.openxmlformats.org/drawingml/2006/main">
            <a:ext uri="{FF2B5EF4-FFF2-40B4-BE49-F238E27FC236}">
              <a16:creationId xmlns:a16="http://schemas.microsoft.com/office/drawing/2014/main" id="{D406ED7D-218A-4472-DBC5-839C7E02D59E}"/>
            </a:ext>
          </a:extLst>
        </cdr:cNvPr>
        <cdr:cNvCxnSpPr/>
      </cdr:nvCxnSpPr>
      <cdr:spPr>
        <a:xfrm xmlns:a="http://schemas.openxmlformats.org/drawingml/2006/main">
          <a:off x="2173914" y="2544483"/>
          <a:ext cx="138710" cy="0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tx1">
              <a:lumMod val="65000"/>
              <a:lumOff val="35000"/>
            </a:scheme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0.64551</cdr:x>
      <cdr:y>0.87963</cdr:y>
    </cdr:from>
    <cdr:to>
      <cdr:x>0.81525</cdr:x>
      <cdr:y>0.96149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F6AD9C3A-28A1-289E-BFD7-99E1F235F904}"/>
            </a:ext>
          </a:extLst>
        </cdr:cNvPr>
        <cdr:cNvSpPr txBox="1"/>
      </cdr:nvSpPr>
      <cdr:spPr>
        <a:xfrm xmlns:a="http://schemas.openxmlformats.org/drawingml/2006/main">
          <a:off x="2239591" y="2413001"/>
          <a:ext cx="588910" cy="22455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900" kern="1200">
              <a:solidFill>
                <a:schemeClr val="tx1">
                  <a:lumMod val="65000"/>
                  <a:lumOff val="35000"/>
                </a:schemeClr>
              </a:solidFill>
              <a:latin typeface="Manrope" pitchFamily="2" charset="0"/>
            </a:rPr>
            <a:t> IQR </a:t>
          </a:r>
          <a:endParaRPr lang="en-US" sz="1100" kern="1200">
            <a:solidFill>
              <a:schemeClr val="tx1">
                <a:lumMod val="65000"/>
                <a:lumOff val="35000"/>
              </a:schemeClr>
            </a:solidFill>
            <a:latin typeface="Manrope" pitchFamily="2" charset="0"/>
          </a:endParaRP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0.57249</cdr:x>
      <cdr:y>0.90328</cdr:y>
    </cdr:from>
    <cdr:to>
      <cdr:x>0.71487</cdr:x>
      <cdr:y>0.96725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F6DC9B9F-2B6E-D62F-2207-7214FB0A3A8C}"/>
            </a:ext>
          </a:extLst>
        </cdr:cNvPr>
        <cdr:cNvSpPr txBox="1"/>
      </cdr:nvSpPr>
      <cdr:spPr>
        <a:xfrm xmlns:a="http://schemas.openxmlformats.org/drawingml/2006/main">
          <a:off x="1981509" y="2456001"/>
          <a:ext cx="492815" cy="17393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GB" sz="1100" kern="1200"/>
        </a:p>
      </cdr:txBody>
    </cdr:sp>
  </cdr:relSizeAnchor>
  <cdr:relSizeAnchor xmlns:cdr="http://schemas.openxmlformats.org/drawingml/2006/chartDrawing">
    <cdr:from>
      <cdr:x>0.01468</cdr:x>
      <cdr:y>0.01868</cdr:y>
    </cdr:from>
    <cdr:to>
      <cdr:x>0.18494</cdr:x>
      <cdr:y>0.10785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3E1E5D0A-B310-8A53-19CA-898EA5F9422B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589313" cy="24244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 sz="1100" kern="1200">
            <a:solidFill>
              <a:schemeClr val="tx1">
                <a:lumMod val="65000"/>
                <a:lumOff val="35000"/>
              </a:schemeClr>
            </a:solidFill>
            <a:latin typeface="Manrope" pitchFamily="2" charset="0"/>
          </a:endParaRPr>
        </a:p>
      </cdr:txBody>
    </cdr:sp>
  </cdr:relSizeAnchor>
  <cdr:relSizeAnchor xmlns:cdr="http://schemas.openxmlformats.org/drawingml/2006/chartDrawing">
    <cdr:from>
      <cdr:x>0.58308</cdr:x>
      <cdr:y>0.93449</cdr:y>
    </cdr:from>
    <cdr:to>
      <cdr:x>0.62305</cdr:x>
      <cdr:y>0.93449</cdr:y>
    </cdr:to>
    <cdr:cxnSp macro="">
      <cdr:nvCxnSpPr>
        <cdr:cNvPr id="4" name="Straight Connector 3">
          <a:extLst xmlns:a="http://schemas.openxmlformats.org/drawingml/2006/main">
            <a:ext uri="{FF2B5EF4-FFF2-40B4-BE49-F238E27FC236}">
              <a16:creationId xmlns:a16="http://schemas.microsoft.com/office/drawing/2014/main" id="{A5181D43-FA72-2330-FD88-AA2D4E5A4A3D}"/>
            </a:ext>
          </a:extLst>
        </cdr:cNvPr>
        <cdr:cNvCxnSpPr/>
      </cdr:nvCxnSpPr>
      <cdr:spPr>
        <a:xfrm xmlns:a="http://schemas.openxmlformats.org/drawingml/2006/main">
          <a:off x="2022973" y="2558553"/>
          <a:ext cx="138675" cy="0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tx1">
              <a:lumMod val="65000"/>
              <a:lumOff val="35000"/>
            </a:scheme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0.60074</cdr:x>
      <cdr:y>0.88656</cdr:y>
    </cdr:from>
    <cdr:to>
      <cdr:x>0.77048</cdr:x>
      <cdr:y>0.97509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17869A72-A03A-262B-1D91-195677D00A47}"/>
            </a:ext>
          </a:extLst>
        </cdr:cNvPr>
        <cdr:cNvSpPr txBox="1"/>
      </cdr:nvSpPr>
      <cdr:spPr>
        <a:xfrm xmlns:a="http://schemas.openxmlformats.org/drawingml/2006/main">
          <a:off x="2084244" y="2427324"/>
          <a:ext cx="588909" cy="2423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900" kern="1200">
              <a:solidFill>
                <a:schemeClr val="tx1">
                  <a:lumMod val="65000"/>
                  <a:lumOff val="35000"/>
                </a:schemeClr>
              </a:solidFill>
              <a:latin typeface="Manrope" pitchFamily="2" charset="0"/>
            </a:rPr>
            <a:t> IQR </a:t>
          </a:r>
          <a:endParaRPr lang="en-US" sz="1100" kern="1200">
            <a:solidFill>
              <a:schemeClr val="tx1">
                <a:lumMod val="65000"/>
                <a:lumOff val="35000"/>
              </a:schemeClr>
            </a:solidFill>
            <a:latin typeface="Manrope" pitchFamily="2" charset="0"/>
          </a:endParaRPr>
        </a:p>
      </cdr:txBody>
    </cdr:sp>
  </cdr:relSizeAnchor>
  <cdr:relSizeAnchor xmlns:cdr="http://schemas.openxmlformats.org/drawingml/2006/chartDrawing">
    <cdr:from>
      <cdr:x>0.1688</cdr:x>
      <cdr:y>0.61037</cdr:y>
    </cdr:from>
    <cdr:to>
      <cdr:x>0.97102</cdr:x>
      <cdr:y>0.61037</cdr:y>
    </cdr:to>
    <cdr:cxnSp macro="">
      <cdr:nvCxnSpPr>
        <cdr:cNvPr id="5" name="Straight Connector 4">
          <a:extLst xmlns:a="http://schemas.openxmlformats.org/drawingml/2006/main">
            <a:ext uri="{FF2B5EF4-FFF2-40B4-BE49-F238E27FC236}">
              <a16:creationId xmlns:a16="http://schemas.microsoft.com/office/drawing/2014/main" id="{D1451888-B2A7-4461-23E0-D3337648A759}"/>
            </a:ext>
          </a:extLst>
        </cdr:cNvPr>
        <cdr:cNvCxnSpPr/>
      </cdr:nvCxnSpPr>
      <cdr:spPr>
        <a:xfrm xmlns:a="http://schemas.openxmlformats.org/drawingml/2006/main">
          <a:off x="586787" y="1679299"/>
          <a:ext cx="2788628" cy="0"/>
        </a:xfrm>
        <a:prstGeom xmlns:a="http://schemas.openxmlformats.org/drawingml/2006/main" prst="line">
          <a:avLst/>
        </a:prstGeom>
        <a:ln xmlns:a="http://schemas.openxmlformats.org/drawingml/2006/main" w="12700"/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0.59501</cdr:x>
      <cdr:y>0.92756</cdr:y>
    </cdr:from>
    <cdr:to>
      <cdr:x>0.63499</cdr:x>
      <cdr:y>0.92756</cdr:y>
    </cdr:to>
    <cdr:cxnSp macro="">
      <cdr:nvCxnSpPr>
        <cdr:cNvPr id="2" name="Straight Connector 1">
          <a:extLst xmlns:a="http://schemas.openxmlformats.org/drawingml/2006/main">
            <a:ext uri="{FF2B5EF4-FFF2-40B4-BE49-F238E27FC236}">
              <a16:creationId xmlns:a16="http://schemas.microsoft.com/office/drawing/2014/main" id="{D406ED7D-218A-4472-DBC5-839C7E02D59E}"/>
            </a:ext>
          </a:extLst>
        </cdr:cNvPr>
        <cdr:cNvCxnSpPr/>
      </cdr:nvCxnSpPr>
      <cdr:spPr>
        <a:xfrm xmlns:a="http://schemas.openxmlformats.org/drawingml/2006/main">
          <a:off x="2068633" y="2552213"/>
          <a:ext cx="138995" cy="0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tx1">
              <a:lumMod val="65000"/>
              <a:lumOff val="35000"/>
            </a:scheme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0.61394</cdr:x>
      <cdr:y>0.87963</cdr:y>
    </cdr:from>
    <cdr:to>
      <cdr:x>0.78368</cdr:x>
      <cdr:y>0.96149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F6AD9C3A-28A1-289E-BFD7-99E1F235F904}"/>
            </a:ext>
          </a:extLst>
        </cdr:cNvPr>
        <cdr:cNvSpPr txBox="1"/>
      </cdr:nvSpPr>
      <cdr:spPr>
        <a:xfrm xmlns:a="http://schemas.openxmlformats.org/drawingml/2006/main">
          <a:off x="2134441" y="2420332"/>
          <a:ext cx="590122" cy="22523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900" kern="1200">
              <a:solidFill>
                <a:schemeClr val="tx1">
                  <a:lumMod val="65000"/>
                  <a:lumOff val="35000"/>
                </a:schemeClr>
              </a:solidFill>
              <a:latin typeface="Manrope" pitchFamily="2" charset="0"/>
            </a:rPr>
            <a:t> IQR </a:t>
          </a:r>
          <a:endParaRPr lang="en-US" sz="1100" kern="1200">
            <a:solidFill>
              <a:schemeClr val="tx1">
                <a:lumMod val="65000"/>
                <a:lumOff val="35000"/>
              </a:schemeClr>
            </a:solidFill>
            <a:latin typeface="Manrope" pitchFamily="2" charset="0"/>
          </a:endParaRPr>
        </a:p>
      </cdr:txBody>
    </cdr:sp>
  </cdr:relSizeAnchor>
</c:userShapes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0.57249</cdr:x>
      <cdr:y>0.90328</cdr:y>
    </cdr:from>
    <cdr:to>
      <cdr:x>0.71487</cdr:x>
      <cdr:y>0.96725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F6DC9B9F-2B6E-D62F-2207-7214FB0A3A8C}"/>
            </a:ext>
          </a:extLst>
        </cdr:cNvPr>
        <cdr:cNvSpPr txBox="1"/>
      </cdr:nvSpPr>
      <cdr:spPr>
        <a:xfrm xmlns:a="http://schemas.openxmlformats.org/drawingml/2006/main">
          <a:off x="1981509" y="2456001"/>
          <a:ext cx="492815" cy="17393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GB" sz="1100" kern="1200"/>
        </a:p>
      </cdr:txBody>
    </cdr:sp>
  </cdr:relSizeAnchor>
  <cdr:relSizeAnchor xmlns:cdr="http://schemas.openxmlformats.org/drawingml/2006/chartDrawing">
    <cdr:from>
      <cdr:x>0.01468</cdr:x>
      <cdr:y>0.01868</cdr:y>
    </cdr:from>
    <cdr:to>
      <cdr:x>0.18494</cdr:x>
      <cdr:y>0.10785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3E1E5D0A-B310-8A53-19CA-898EA5F9422B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589313" cy="24244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 sz="1100" kern="1200">
            <a:solidFill>
              <a:schemeClr val="tx1">
                <a:lumMod val="65000"/>
                <a:lumOff val="35000"/>
              </a:schemeClr>
            </a:solidFill>
            <a:latin typeface="Manrope" pitchFamily="2" charset="0"/>
          </a:endParaRPr>
        </a:p>
      </cdr:txBody>
    </cdr:sp>
  </cdr:relSizeAnchor>
  <cdr:relSizeAnchor xmlns:cdr="http://schemas.openxmlformats.org/drawingml/2006/chartDrawing">
    <cdr:from>
      <cdr:x>0.58716</cdr:x>
      <cdr:y>0.93512</cdr:y>
    </cdr:from>
    <cdr:to>
      <cdr:x>0.62713</cdr:x>
      <cdr:y>0.93512</cdr:y>
    </cdr:to>
    <cdr:cxnSp macro="">
      <cdr:nvCxnSpPr>
        <cdr:cNvPr id="4" name="Straight Connector 3">
          <a:extLst xmlns:a="http://schemas.openxmlformats.org/drawingml/2006/main">
            <a:ext uri="{FF2B5EF4-FFF2-40B4-BE49-F238E27FC236}">
              <a16:creationId xmlns:a16="http://schemas.microsoft.com/office/drawing/2014/main" id="{A5181D43-FA72-2330-FD88-AA2D4E5A4A3D}"/>
            </a:ext>
          </a:extLst>
        </cdr:cNvPr>
        <cdr:cNvCxnSpPr/>
      </cdr:nvCxnSpPr>
      <cdr:spPr>
        <a:xfrm xmlns:a="http://schemas.openxmlformats.org/drawingml/2006/main">
          <a:off x="2041572" y="2556641"/>
          <a:ext cx="138977" cy="0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tx1">
              <a:lumMod val="65000"/>
              <a:lumOff val="35000"/>
            </a:scheme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0.60482</cdr:x>
      <cdr:y>0.88719</cdr:y>
    </cdr:from>
    <cdr:to>
      <cdr:x>0.77456</cdr:x>
      <cdr:y>0.97572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17869A72-A03A-262B-1D91-195677D00A47}"/>
            </a:ext>
          </a:extLst>
        </cdr:cNvPr>
        <cdr:cNvSpPr txBox="1"/>
      </cdr:nvSpPr>
      <cdr:spPr>
        <a:xfrm xmlns:a="http://schemas.openxmlformats.org/drawingml/2006/main">
          <a:off x="2102976" y="2425599"/>
          <a:ext cx="590189" cy="24204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900" kern="1200">
              <a:solidFill>
                <a:schemeClr val="tx1">
                  <a:lumMod val="65000"/>
                  <a:lumOff val="35000"/>
                </a:schemeClr>
              </a:solidFill>
              <a:latin typeface="Manrope" pitchFamily="2" charset="0"/>
            </a:rPr>
            <a:t> IQR </a:t>
          </a:r>
          <a:endParaRPr lang="en-US" sz="1100" kern="1200">
            <a:solidFill>
              <a:schemeClr val="tx1">
                <a:lumMod val="65000"/>
                <a:lumOff val="35000"/>
              </a:schemeClr>
            </a:solidFill>
            <a:latin typeface="Manrope" pitchFamily="2" charset="0"/>
          </a:endParaRPr>
        </a:p>
      </cdr:txBody>
    </cdr:sp>
  </cdr:relSizeAnchor>
  <cdr:relSizeAnchor xmlns:cdr="http://schemas.openxmlformats.org/drawingml/2006/chartDrawing">
    <cdr:from>
      <cdr:x>0.18334</cdr:x>
      <cdr:y>0.49764</cdr:y>
    </cdr:from>
    <cdr:to>
      <cdr:x>0.98544</cdr:x>
      <cdr:y>0.49764</cdr:y>
    </cdr:to>
    <cdr:cxnSp macro="">
      <cdr:nvCxnSpPr>
        <cdr:cNvPr id="5" name="Straight Connector 4">
          <a:extLst xmlns:a="http://schemas.openxmlformats.org/drawingml/2006/main">
            <a:ext uri="{FF2B5EF4-FFF2-40B4-BE49-F238E27FC236}">
              <a16:creationId xmlns:a16="http://schemas.microsoft.com/office/drawing/2014/main" id="{D1451888-B2A7-4461-23E0-D3337648A759}"/>
            </a:ext>
          </a:extLst>
        </cdr:cNvPr>
        <cdr:cNvCxnSpPr/>
      </cdr:nvCxnSpPr>
      <cdr:spPr>
        <a:xfrm xmlns:a="http://schemas.openxmlformats.org/drawingml/2006/main">
          <a:off x="637389" y="1369736"/>
          <a:ext cx="2788628" cy="0"/>
        </a:xfrm>
        <a:prstGeom xmlns:a="http://schemas.openxmlformats.org/drawingml/2006/main" prst="line">
          <a:avLst/>
        </a:prstGeom>
        <a:ln xmlns:a="http://schemas.openxmlformats.org/drawingml/2006/main" w="12700"/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0.59501</cdr:x>
      <cdr:y>0.92756</cdr:y>
    </cdr:from>
    <cdr:to>
      <cdr:x>0.63499</cdr:x>
      <cdr:y>0.92756</cdr:y>
    </cdr:to>
    <cdr:cxnSp macro="">
      <cdr:nvCxnSpPr>
        <cdr:cNvPr id="2" name="Straight Connector 1">
          <a:extLst xmlns:a="http://schemas.openxmlformats.org/drawingml/2006/main">
            <a:ext uri="{FF2B5EF4-FFF2-40B4-BE49-F238E27FC236}">
              <a16:creationId xmlns:a16="http://schemas.microsoft.com/office/drawing/2014/main" id="{D406ED7D-218A-4472-DBC5-839C7E02D59E}"/>
            </a:ext>
          </a:extLst>
        </cdr:cNvPr>
        <cdr:cNvCxnSpPr/>
      </cdr:nvCxnSpPr>
      <cdr:spPr>
        <a:xfrm xmlns:a="http://schemas.openxmlformats.org/drawingml/2006/main">
          <a:off x="2068633" y="2552213"/>
          <a:ext cx="138995" cy="0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tx1">
              <a:lumMod val="65000"/>
              <a:lumOff val="35000"/>
            </a:scheme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0.61394</cdr:x>
      <cdr:y>0.87963</cdr:y>
    </cdr:from>
    <cdr:to>
      <cdr:x>0.78368</cdr:x>
      <cdr:y>0.96149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F6AD9C3A-28A1-289E-BFD7-99E1F235F904}"/>
            </a:ext>
          </a:extLst>
        </cdr:cNvPr>
        <cdr:cNvSpPr txBox="1"/>
      </cdr:nvSpPr>
      <cdr:spPr>
        <a:xfrm xmlns:a="http://schemas.openxmlformats.org/drawingml/2006/main">
          <a:off x="2134441" y="2420332"/>
          <a:ext cx="590122" cy="22523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900" kern="1200">
              <a:solidFill>
                <a:schemeClr val="tx1">
                  <a:lumMod val="65000"/>
                  <a:lumOff val="35000"/>
                </a:schemeClr>
              </a:solidFill>
              <a:latin typeface="Manrope" pitchFamily="2" charset="0"/>
            </a:rPr>
            <a:t> IQR </a:t>
          </a:r>
          <a:endParaRPr lang="en-US" sz="1100" kern="1200">
            <a:solidFill>
              <a:schemeClr val="tx1">
                <a:lumMod val="65000"/>
                <a:lumOff val="35000"/>
              </a:schemeClr>
            </a:solidFill>
            <a:latin typeface="Manrope" pitchFamily="2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 2007 - 2010">
  <a:themeElements>
    <a:clrScheme name="Custom 1">
      <a:dk1>
        <a:srgbClr val="000000"/>
      </a:dk1>
      <a:lt1>
        <a:srgbClr val="FFFFFF"/>
      </a:lt1>
      <a:dk2>
        <a:srgbClr val="102C53"/>
      </a:dk2>
      <a:lt2>
        <a:srgbClr val="FFFFFF"/>
      </a:lt2>
      <a:accent1>
        <a:srgbClr val="102C53"/>
      </a:accent1>
      <a:accent2>
        <a:srgbClr val="596C87"/>
      </a:accent2>
      <a:accent3>
        <a:srgbClr val="8795A8"/>
      </a:accent3>
      <a:accent4>
        <a:srgbClr val="B7BFCA"/>
      </a:accent4>
      <a:accent5>
        <a:srgbClr val="D0D5DD"/>
      </a:accent5>
      <a:accent6>
        <a:srgbClr val="F3F3F6"/>
      </a:accent6>
      <a:hlink>
        <a:srgbClr val="0000FF"/>
      </a:hlink>
      <a:folHlink>
        <a:srgbClr val="28C8F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9"/>
  <sheetViews>
    <sheetView topLeftCell="B3" zoomScale="103" zoomScaleNormal="103" workbookViewId="0">
      <selection activeCell="H34" sqref="H34"/>
    </sheetView>
  </sheetViews>
  <sheetFormatPr defaultColWidth="8.796875" defaultRowHeight="14.25" x14ac:dyDescent="0.45"/>
  <cols>
    <col min="1" max="1" width="8.1328125" bestFit="1" customWidth="1"/>
    <col min="2" max="2" width="8.6640625" bestFit="1" customWidth="1"/>
    <col min="3" max="3" width="10.1328125" bestFit="1" customWidth="1"/>
    <col min="4" max="4" width="13.6640625" bestFit="1" customWidth="1"/>
    <col min="5" max="5" width="14.1328125" bestFit="1" customWidth="1"/>
    <col min="6" max="6" width="24.33203125" bestFit="1" customWidth="1"/>
    <col min="7" max="7" width="20.796875" bestFit="1" customWidth="1"/>
    <col min="8" max="8" width="11.33203125" bestFit="1" customWidth="1"/>
    <col min="9" max="9" width="20.33203125" bestFit="1" customWidth="1"/>
    <col min="10" max="10" width="11" bestFit="1" customWidth="1"/>
    <col min="11" max="11" width="16.1328125" bestFit="1" customWidth="1"/>
    <col min="12" max="12" width="17" bestFit="1" customWidth="1"/>
  </cols>
  <sheetData>
    <row r="1" spans="1:14" ht="16.149999999999999" x14ac:dyDescent="0.6">
      <c r="A1" s="1" t="s">
        <v>0</v>
      </c>
      <c r="B1" s="1" t="s">
        <v>1</v>
      </c>
      <c r="C1" s="1" t="s">
        <v>2</v>
      </c>
      <c r="D1" s="2" t="s">
        <v>37</v>
      </c>
      <c r="E1" s="1" t="s">
        <v>3</v>
      </c>
      <c r="F1" s="1" t="s">
        <v>4</v>
      </c>
      <c r="G1" s="1" t="s">
        <v>5</v>
      </c>
      <c r="H1" s="2" t="s">
        <v>38</v>
      </c>
      <c r="I1" s="1" t="s">
        <v>36</v>
      </c>
      <c r="J1" s="2" t="s">
        <v>39</v>
      </c>
    </row>
    <row r="2" spans="1:14" ht="16.149999999999999" x14ac:dyDescent="0.6">
      <c r="A2" s="3" t="s">
        <v>6</v>
      </c>
      <c r="B2" s="3" t="s">
        <v>8</v>
      </c>
      <c r="C2" s="3" t="s">
        <v>10</v>
      </c>
      <c r="D2" s="4">
        <v>45632</v>
      </c>
      <c r="E2" s="7" t="s">
        <v>12</v>
      </c>
      <c r="F2" s="3">
        <v>44.23</v>
      </c>
      <c r="G2" s="3">
        <v>85.661000000000001</v>
      </c>
      <c r="H2" s="3">
        <v>0.91800000000000004</v>
      </c>
      <c r="I2" s="3">
        <v>1.202</v>
      </c>
      <c r="J2" s="3">
        <v>0.93700000000000006</v>
      </c>
    </row>
    <row r="3" spans="1:14" ht="16.149999999999999" x14ac:dyDescent="0.6">
      <c r="A3" s="3" t="s">
        <v>6</v>
      </c>
      <c r="B3" s="3" t="s">
        <v>8</v>
      </c>
      <c r="C3" s="3" t="s">
        <v>10</v>
      </c>
      <c r="D3" s="4">
        <v>45632</v>
      </c>
      <c r="E3" s="7" t="s">
        <v>13</v>
      </c>
      <c r="F3" s="3">
        <v>45.8</v>
      </c>
      <c r="G3" s="3">
        <v>85.796999999999997</v>
      </c>
      <c r="H3" s="3">
        <v>1.1479999999999999</v>
      </c>
      <c r="I3" s="3">
        <v>1.1739999999999999</v>
      </c>
      <c r="J3" s="3">
        <v>1.1319999999999999</v>
      </c>
    </row>
    <row r="4" spans="1:14" ht="16.149999999999999" x14ac:dyDescent="0.6">
      <c r="A4" s="3" t="s">
        <v>6</v>
      </c>
      <c r="B4" s="3" t="s">
        <v>8</v>
      </c>
      <c r="C4" s="3" t="s">
        <v>10</v>
      </c>
      <c r="D4" s="4">
        <v>45632</v>
      </c>
      <c r="E4" s="7" t="s">
        <v>14</v>
      </c>
      <c r="F4" s="3">
        <v>35.76</v>
      </c>
      <c r="G4" s="3">
        <v>84.998000000000005</v>
      </c>
      <c r="H4" s="3">
        <v>0.73599999999999999</v>
      </c>
      <c r="I4" s="3">
        <v>1.397</v>
      </c>
      <c r="J4" s="3">
        <v>4.3739999999999997</v>
      </c>
    </row>
    <row r="5" spans="1:14" ht="16.149999999999999" x14ac:dyDescent="0.6">
      <c r="A5" s="3" t="s">
        <v>6</v>
      </c>
      <c r="B5" s="3" t="s">
        <v>9</v>
      </c>
      <c r="C5" s="3" t="s">
        <v>10</v>
      </c>
      <c r="D5" s="4">
        <v>45632</v>
      </c>
      <c r="E5" s="7" t="s">
        <v>18</v>
      </c>
      <c r="F5" s="3">
        <v>57.46</v>
      </c>
      <c r="G5" s="3">
        <v>85.692999999999998</v>
      </c>
      <c r="H5" s="3">
        <v>0.78200000000000003</v>
      </c>
      <c r="I5" s="3">
        <v>-0.55600000000000005</v>
      </c>
      <c r="J5" s="3">
        <v>0.73599999999999999</v>
      </c>
    </row>
    <row r="6" spans="1:14" ht="16.149999999999999" x14ac:dyDescent="0.6">
      <c r="A6" s="3" t="s">
        <v>6</v>
      </c>
      <c r="B6" s="3" t="s">
        <v>9</v>
      </c>
      <c r="C6" s="3" t="s">
        <v>10</v>
      </c>
      <c r="D6" s="4">
        <v>45632</v>
      </c>
      <c r="E6" s="7" t="s">
        <v>19</v>
      </c>
      <c r="F6" s="3">
        <v>60.29</v>
      </c>
      <c r="G6" s="3">
        <v>85.608000000000004</v>
      </c>
      <c r="H6" s="3">
        <v>0.85899999999999999</v>
      </c>
      <c r="I6" s="3">
        <v>-0.45300000000000001</v>
      </c>
      <c r="J6" s="3">
        <v>1.012</v>
      </c>
    </row>
    <row r="7" spans="1:14" ht="16.149999999999999" x14ac:dyDescent="0.6">
      <c r="A7" s="3" t="s">
        <v>6</v>
      </c>
      <c r="B7" s="3" t="s">
        <v>9</v>
      </c>
      <c r="C7" s="3" t="s">
        <v>10</v>
      </c>
      <c r="D7" s="4">
        <v>45632</v>
      </c>
      <c r="E7" s="7" t="s">
        <v>20</v>
      </c>
      <c r="F7" s="3">
        <v>63.61</v>
      </c>
      <c r="G7" s="3">
        <v>85.218999999999994</v>
      </c>
      <c r="H7" s="3">
        <v>0.88800000000000001</v>
      </c>
      <c r="I7" s="3">
        <v>-0.72199999999999998</v>
      </c>
      <c r="J7" s="3">
        <v>1.0549999999999999</v>
      </c>
    </row>
    <row r="8" spans="1:14" ht="16.149999999999999" x14ac:dyDescent="0.6">
      <c r="A8" s="3" t="s">
        <v>7</v>
      </c>
      <c r="B8" s="3" t="s">
        <v>8</v>
      </c>
      <c r="C8" s="3" t="s">
        <v>10</v>
      </c>
      <c r="D8" s="4">
        <v>45632</v>
      </c>
      <c r="E8" s="7" t="s">
        <v>24</v>
      </c>
      <c r="F8" s="3">
        <v>33.409999999999997</v>
      </c>
      <c r="G8" s="3">
        <v>87.635999999999996</v>
      </c>
      <c r="H8" s="3">
        <v>1.1539999999999999</v>
      </c>
      <c r="I8" s="3">
        <v>0.63100000000000001</v>
      </c>
      <c r="J8" s="3">
        <f>0.71*2</f>
        <v>1.42</v>
      </c>
    </row>
    <row r="9" spans="1:14" ht="16.149999999999999" x14ac:dyDescent="0.6">
      <c r="A9" s="3" t="s">
        <v>7</v>
      </c>
      <c r="B9" s="3" t="s">
        <v>8</v>
      </c>
      <c r="C9" s="3" t="s">
        <v>10</v>
      </c>
      <c r="D9" s="4">
        <v>45632</v>
      </c>
      <c r="E9" s="7" t="s">
        <v>25</v>
      </c>
      <c r="F9" s="3">
        <v>20.05</v>
      </c>
      <c r="G9" s="3">
        <v>87.412999999999997</v>
      </c>
      <c r="H9" s="3">
        <v>2.0339999999999998</v>
      </c>
      <c r="I9" s="3">
        <v>-1.216</v>
      </c>
      <c r="J9" s="3">
        <f>0.89*2</f>
        <v>1.78</v>
      </c>
    </row>
    <row r="10" spans="1:14" ht="16.149999999999999" x14ac:dyDescent="0.6">
      <c r="A10" s="3" t="s">
        <v>7</v>
      </c>
      <c r="B10" s="3" t="s">
        <v>8</v>
      </c>
      <c r="C10" s="3" t="s">
        <v>10</v>
      </c>
      <c r="D10" s="4">
        <v>45632</v>
      </c>
      <c r="E10" s="7" t="s">
        <v>26</v>
      </c>
      <c r="F10" s="3">
        <v>23.69</v>
      </c>
      <c r="G10" s="3">
        <v>86.545000000000002</v>
      </c>
      <c r="H10" s="3">
        <v>1.7250000000000001</v>
      </c>
      <c r="I10" s="3">
        <v>0.13800000000000001</v>
      </c>
      <c r="J10" s="3">
        <v>1.1020000000000001</v>
      </c>
    </row>
    <row r="11" spans="1:14" ht="16.149999999999999" x14ac:dyDescent="0.6">
      <c r="A11" s="3" t="s">
        <v>7</v>
      </c>
      <c r="B11" s="3" t="s">
        <v>9</v>
      </c>
      <c r="C11" s="3" t="s">
        <v>10</v>
      </c>
      <c r="D11" s="4">
        <v>45632</v>
      </c>
      <c r="E11" s="7" t="s">
        <v>30</v>
      </c>
      <c r="F11" s="3">
        <v>23.11</v>
      </c>
      <c r="G11" s="3">
        <v>80.843999999999994</v>
      </c>
      <c r="H11" s="3">
        <v>2.9260000000000002</v>
      </c>
      <c r="I11" s="3">
        <v>-1.276</v>
      </c>
      <c r="J11" s="3">
        <v>1.4219999999999999</v>
      </c>
    </row>
    <row r="12" spans="1:14" ht="16.149999999999999" x14ac:dyDescent="0.6">
      <c r="A12" s="3" t="s">
        <v>7</v>
      </c>
      <c r="B12" s="3" t="s">
        <v>9</v>
      </c>
      <c r="C12" s="3" t="s">
        <v>10</v>
      </c>
      <c r="D12" s="4">
        <v>45632</v>
      </c>
      <c r="E12" s="7" t="s">
        <v>31</v>
      </c>
      <c r="F12" s="3">
        <v>25.1</v>
      </c>
      <c r="G12" s="3">
        <v>84.67</v>
      </c>
      <c r="H12" s="3">
        <v>1.292</v>
      </c>
      <c r="I12" s="3">
        <v>-1.216</v>
      </c>
      <c r="J12" s="3">
        <v>48.576000000000001</v>
      </c>
    </row>
    <row r="13" spans="1:14" ht="16.149999999999999" x14ac:dyDescent="0.6">
      <c r="A13" s="3" t="s">
        <v>7</v>
      </c>
      <c r="B13" s="3" t="s">
        <v>9</v>
      </c>
      <c r="C13" s="3" t="s">
        <v>10</v>
      </c>
      <c r="D13" s="4">
        <v>45632</v>
      </c>
      <c r="E13" s="7" t="s">
        <v>32</v>
      </c>
      <c r="F13" s="3">
        <v>26.94</v>
      </c>
      <c r="G13" s="3">
        <v>83.073999999999998</v>
      </c>
      <c r="H13" s="3">
        <v>1.9870000000000001</v>
      </c>
      <c r="I13" s="3">
        <v>-0.75600000000000001</v>
      </c>
      <c r="J13" s="3">
        <v>1.77</v>
      </c>
    </row>
    <row r="14" spans="1:14" ht="16.149999999999999" x14ac:dyDescent="0.6">
      <c r="A14" s="3" t="s">
        <v>6</v>
      </c>
      <c r="B14" s="3" t="s">
        <v>9</v>
      </c>
      <c r="C14" s="3" t="s">
        <v>10</v>
      </c>
      <c r="D14" s="7" t="s">
        <v>53</v>
      </c>
      <c r="E14" s="8">
        <v>0.43819444444444444</v>
      </c>
      <c r="F14" s="3">
        <v>9.42</v>
      </c>
      <c r="G14" s="3">
        <v>40.914999999999999</v>
      </c>
      <c r="H14" s="3">
        <v>2.5379999999999998</v>
      </c>
      <c r="I14" s="3">
        <v>2.3839999999999999</v>
      </c>
      <c r="J14" s="3">
        <v>2.621</v>
      </c>
    </row>
    <row r="15" spans="1:14" ht="16.149999999999999" x14ac:dyDescent="0.6">
      <c r="A15" s="3" t="s">
        <v>6</v>
      </c>
      <c r="B15" s="3" t="s">
        <v>9</v>
      </c>
      <c r="C15" s="3" t="s">
        <v>10</v>
      </c>
      <c r="D15" s="7" t="s">
        <v>53</v>
      </c>
      <c r="E15" s="8">
        <v>0.43888888888888888</v>
      </c>
      <c r="F15" s="3">
        <v>8.1300000000000008</v>
      </c>
      <c r="G15" s="3">
        <v>40.356000000000002</v>
      </c>
      <c r="H15" s="3">
        <v>2.3639999999999999</v>
      </c>
      <c r="I15" s="3">
        <v>2.371</v>
      </c>
      <c r="J15" s="3">
        <v>2.597</v>
      </c>
    </row>
    <row r="16" spans="1:14" ht="16.149999999999999" x14ac:dyDescent="0.6">
      <c r="A16" s="3" t="s">
        <v>6</v>
      </c>
      <c r="B16" s="3" t="s">
        <v>9</v>
      </c>
      <c r="C16" s="3" t="s">
        <v>10</v>
      </c>
      <c r="D16" s="7" t="s">
        <v>53</v>
      </c>
      <c r="E16" s="8">
        <v>0.43958333333333333</v>
      </c>
      <c r="F16" s="3">
        <v>8.2799999999999994</v>
      </c>
      <c r="G16" s="3">
        <v>41.701000000000001</v>
      </c>
      <c r="H16" s="3">
        <v>2.4249999999999998</v>
      </c>
      <c r="I16" s="3">
        <v>1.3420000000000001</v>
      </c>
      <c r="J16" s="3">
        <v>3.4540000000000002</v>
      </c>
      <c r="M16" s="3"/>
      <c r="N16" s="3"/>
    </row>
    <row r="17" spans="1:10" ht="16.149999999999999" x14ac:dyDescent="0.6">
      <c r="A17" s="3" t="s">
        <v>6</v>
      </c>
      <c r="B17" s="3" t="s">
        <v>9</v>
      </c>
      <c r="C17" s="3" t="s">
        <v>10</v>
      </c>
      <c r="D17" s="7" t="s">
        <v>55</v>
      </c>
      <c r="E17" s="8">
        <v>0.44374999999999998</v>
      </c>
      <c r="F17" s="3">
        <v>7.26</v>
      </c>
      <c r="G17" s="3">
        <v>85.86</v>
      </c>
      <c r="H17" s="3">
        <v>2.7010000000000001</v>
      </c>
      <c r="I17" s="3">
        <v>0.20499999999999999</v>
      </c>
      <c r="J17" s="3">
        <v>2.8940000000000001</v>
      </c>
    </row>
    <row r="18" spans="1:10" ht="16.149999999999999" x14ac:dyDescent="0.6">
      <c r="A18" s="3" t="s">
        <v>6</v>
      </c>
      <c r="B18" s="3" t="s">
        <v>9</v>
      </c>
      <c r="C18" s="3" t="s">
        <v>10</v>
      </c>
      <c r="D18" s="7" t="s">
        <v>55</v>
      </c>
      <c r="E18" s="8">
        <v>0.44444444444444442</v>
      </c>
      <c r="F18" s="3">
        <v>8.27</v>
      </c>
      <c r="G18" s="3">
        <v>87.283000000000001</v>
      </c>
      <c r="H18" s="3">
        <v>2.2839999999999998</v>
      </c>
      <c r="I18" s="3">
        <v>1.103</v>
      </c>
      <c r="J18" s="3">
        <v>3.96</v>
      </c>
    </row>
    <row r="19" spans="1:10" ht="16.149999999999999" x14ac:dyDescent="0.6">
      <c r="A19" s="3" t="s">
        <v>6</v>
      </c>
      <c r="B19" s="3" t="s">
        <v>9</v>
      </c>
      <c r="C19" s="3" t="s">
        <v>10</v>
      </c>
      <c r="D19" s="7" t="s">
        <v>55</v>
      </c>
      <c r="E19" s="8">
        <v>0.44513888888888886</v>
      </c>
      <c r="F19" s="3">
        <v>6.76</v>
      </c>
      <c r="G19" s="3">
        <v>86.131</v>
      </c>
      <c r="H19" s="3">
        <v>3.726</v>
      </c>
      <c r="I19" s="3">
        <v>1.6379999999999999</v>
      </c>
      <c r="J19" s="3">
        <v>2.2040000000000002</v>
      </c>
    </row>
    <row r="20" spans="1:10" ht="16.149999999999999" x14ac:dyDescent="0.6">
      <c r="A20" s="3" t="s">
        <v>6</v>
      </c>
      <c r="B20" s="3" t="s">
        <v>8</v>
      </c>
      <c r="C20" s="3" t="s">
        <v>11</v>
      </c>
      <c r="D20" s="4">
        <v>45632</v>
      </c>
      <c r="E20" s="7" t="s">
        <v>15</v>
      </c>
      <c r="F20" s="3">
        <v>83.89</v>
      </c>
      <c r="G20" s="3">
        <v>83.162999999999997</v>
      </c>
      <c r="H20" s="3">
        <v>2.6589999999999998</v>
      </c>
      <c r="I20" s="3">
        <v>7.2869999999999999</v>
      </c>
      <c r="J20" s="3">
        <v>8.5649999999999995</v>
      </c>
    </row>
    <row r="21" spans="1:10" ht="16.149999999999999" x14ac:dyDescent="0.6">
      <c r="A21" s="3" t="s">
        <v>6</v>
      </c>
      <c r="B21" s="3" t="s">
        <v>8</v>
      </c>
      <c r="C21" s="3" t="s">
        <v>11</v>
      </c>
      <c r="D21" s="4">
        <v>45632</v>
      </c>
      <c r="E21" s="7" t="s">
        <v>16</v>
      </c>
      <c r="F21" s="3">
        <v>86.11</v>
      </c>
      <c r="G21" s="3">
        <v>78.396000000000001</v>
      </c>
      <c r="H21" s="3">
        <v>6.6829999999999998</v>
      </c>
      <c r="I21" s="3">
        <v>0.91</v>
      </c>
      <c r="J21" s="3">
        <v>1.7</v>
      </c>
    </row>
    <row r="22" spans="1:10" ht="16.149999999999999" x14ac:dyDescent="0.6">
      <c r="A22" s="3" t="s">
        <v>6</v>
      </c>
      <c r="B22" s="3" t="s">
        <v>8</v>
      </c>
      <c r="C22" s="3" t="s">
        <v>11</v>
      </c>
      <c r="D22" s="4">
        <v>45632</v>
      </c>
      <c r="E22" s="7" t="s">
        <v>17</v>
      </c>
      <c r="F22" s="3">
        <v>85.62</v>
      </c>
      <c r="G22" s="3">
        <v>72.091999999999999</v>
      </c>
      <c r="H22" s="3">
        <v>9.0449999999999999</v>
      </c>
      <c r="I22" s="3">
        <v>6.9539999999999997</v>
      </c>
      <c r="J22" s="3">
        <v>7.8689999999999998</v>
      </c>
    </row>
    <row r="23" spans="1:10" ht="16.149999999999999" x14ac:dyDescent="0.6">
      <c r="A23" s="3" t="s">
        <v>6</v>
      </c>
      <c r="B23" s="3" t="s">
        <v>9</v>
      </c>
      <c r="C23" s="3" t="s">
        <v>11</v>
      </c>
      <c r="D23" s="4">
        <v>45632</v>
      </c>
      <c r="E23" s="7" t="s">
        <v>21</v>
      </c>
      <c r="F23" s="3">
        <v>89.37</v>
      </c>
      <c r="G23" s="3">
        <v>91.453000000000003</v>
      </c>
      <c r="H23" s="3">
        <v>2.5680000000000001</v>
      </c>
      <c r="I23" s="3">
        <v>26.934000000000001</v>
      </c>
      <c r="J23" s="3">
        <v>6.0759999999999996</v>
      </c>
    </row>
    <row r="24" spans="1:10" ht="16.149999999999999" x14ac:dyDescent="0.6">
      <c r="A24" s="3" t="s">
        <v>6</v>
      </c>
      <c r="B24" s="3" t="s">
        <v>9</v>
      </c>
      <c r="C24" s="3" t="s">
        <v>11</v>
      </c>
      <c r="D24" s="4">
        <v>45632</v>
      </c>
      <c r="E24" s="7" t="s">
        <v>22</v>
      </c>
      <c r="F24" s="3">
        <v>88.69</v>
      </c>
      <c r="G24" s="3">
        <v>98.100999999999999</v>
      </c>
      <c r="H24" s="3">
        <v>18.189</v>
      </c>
      <c r="I24" s="3">
        <v>23.36</v>
      </c>
      <c r="J24" s="3">
        <v>3.806</v>
      </c>
    </row>
    <row r="25" spans="1:10" ht="16.149999999999999" x14ac:dyDescent="0.6">
      <c r="A25" s="3" t="s">
        <v>6</v>
      </c>
      <c r="B25" s="3" t="s">
        <v>9</v>
      </c>
      <c r="C25" s="3" t="s">
        <v>11</v>
      </c>
      <c r="D25" s="4">
        <v>45632</v>
      </c>
      <c r="E25" s="7" t="s">
        <v>23</v>
      </c>
      <c r="F25" s="3">
        <v>91.4</v>
      </c>
      <c r="G25" s="3">
        <v>103.251</v>
      </c>
      <c r="H25" s="3">
        <v>8.3650000000000002</v>
      </c>
      <c r="I25" s="3">
        <v>17.582999999999998</v>
      </c>
      <c r="J25" s="3">
        <v>8.4990000000000006</v>
      </c>
    </row>
    <row r="26" spans="1:10" ht="16.149999999999999" x14ac:dyDescent="0.6">
      <c r="A26" s="3" t="s">
        <v>7</v>
      </c>
      <c r="B26" s="3" t="s">
        <v>8</v>
      </c>
      <c r="C26" s="3" t="s">
        <v>11</v>
      </c>
      <c r="D26" s="4">
        <v>45632</v>
      </c>
      <c r="E26" s="7" t="s">
        <v>27</v>
      </c>
      <c r="F26" s="3">
        <v>89.54</v>
      </c>
      <c r="G26" s="3">
        <v>87.164000000000001</v>
      </c>
      <c r="H26" s="3">
        <v>19.265999999999998</v>
      </c>
      <c r="I26" s="3">
        <v>-2.2269999999999999</v>
      </c>
      <c r="J26" s="3">
        <v>0.73399999999999999</v>
      </c>
    </row>
    <row r="27" spans="1:10" ht="16.149999999999999" x14ac:dyDescent="0.6">
      <c r="A27" s="3" t="s">
        <v>7</v>
      </c>
      <c r="B27" s="3" t="s">
        <v>8</v>
      </c>
      <c r="C27" s="3" t="s">
        <v>11</v>
      </c>
      <c r="D27" s="4">
        <v>45632</v>
      </c>
      <c r="E27" s="7" t="s">
        <v>28</v>
      </c>
      <c r="F27" s="3">
        <v>93.14</v>
      </c>
      <c r="G27" s="3">
        <v>105.203</v>
      </c>
      <c r="H27" s="3">
        <v>1.119</v>
      </c>
      <c r="I27" s="3">
        <v>-0.72099999999999997</v>
      </c>
      <c r="J27" s="3">
        <v>2.42</v>
      </c>
    </row>
    <row r="28" spans="1:10" ht="16.149999999999999" x14ac:dyDescent="0.6">
      <c r="A28" s="3" t="s">
        <v>7</v>
      </c>
      <c r="B28" s="3" t="s">
        <v>8</v>
      </c>
      <c r="C28" s="3" t="s">
        <v>11</v>
      </c>
      <c r="D28" s="4">
        <v>45632</v>
      </c>
      <c r="E28" s="7" t="s">
        <v>29</v>
      </c>
      <c r="F28" s="3">
        <v>89.41</v>
      </c>
      <c r="G28" s="3">
        <v>105.22199999999999</v>
      </c>
      <c r="H28" s="3">
        <v>1.7849999999999999</v>
      </c>
      <c r="I28" s="3">
        <v>-1.9139999999999999</v>
      </c>
      <c r="J28" s="3">
        <v>1.895</v>
      </c>
    </row>
    <row r="29" spans="1:10" ht="16.149999999999999" x14ac:dyDescent="0.6">
      <c r="A29" s="3" t="s">
        <v>7</v>
      </c>
      <c r="B29" s="3" t="s">
        <v>9</v>
      </c>
      <c r="C29" s="3" t="s">
        <v>11</v>
      </c>
      <c r="D29" s="4">
        <v>45632</v>
      </c>
      <c r="E29" s="7" t="s">
        <v>33</v>
      </c>
      <c r="F29" s="3">
        <v>81.39</v>
      </c>
      <c r="G29" s="3">
        <v>104.02800000000001</v>
      </c>
      <c r="H29" s="3">
        <v>2.528</v>
      </c>
      <c r="I29" s="3">
        <v>-3.3519999999999999</v>
      </c>
      <c r="J29" s="3">
        <v>1.4630000000000001</v>
      </c>
    </row>
    <row r="30" spans="1:10" ht="16.149999999999999" x14ac:dyDescent="0.6">
      <c r="A30" s="3" t="s">
        <v>7</v>
      </c>
      <c r="B30" s="3" t="s">
        <v>9</v>
      </c>
      <c r="C30" s="3" t="s">
        <v>11</v>
      </c>
      <c r="D30" s="4">
        <v>45632</v>
      </c>
      <c r="E30" s="7" t="s">
        <v>34</v>
      </c>
      <c r="F30" s="3">
        <v>87.6</v>
      </c>
      <c r="G30" s="3">
        <v>104.131</v>
      </c>
      <c r="H30" s="3">
        <v>3.34</v>
      </c>
      <c r="I30" s="3">
        <v>-2.9670000000000001</v>
      </c>
      <c r="J30" s="3">
        <v>1.403</v>
      </c>
    </row>
    <row r="31" spans="1:10" ht="16.149999999999999" x14ac:dyDescent="0.6">
      <c r="A31" s="3" t="s">
        <v>7</v>
      </c>
      <c r="B31" s="3" t="s">
        <v>9</v>
      </c>
      <c r="C31" s="3" t="s">
        <v>11</v>
      </c>
      <c r="D31" s="4">
        <v>45632</v>
      </c>
      <c r="E31" s="7" t="s">
        <v>35</v>
      </c>
      <c r="F31" s="3">
        <v>84.67</v>
      </c>
      <c r="G31" s="3">
        <v>103.15600000000001</v>
      </c>
      <c r="H31" s="3">
        <v>1.905</v>
      </c>
      <c r="I31" s="3">
        <v>-2.13</v>
      </c>
      <c r="J31" s="3">
        <v>2.1629999999999998</v>
      </c>
    </row>
    <row r="32" spans="1:10" ht="16.149999999999999" x14ac:dyDescent="0.6">
      <c r="A32" s="3" t="s">
        <v>6</v>
      </c>
      <c r="B32" s="3" t="s">
        <v>9</v>
      </c>
      <c r="C32" s="3" t="s">
        <v>11</v>
      </c>
      <c r="D32" s="7" t="s">
        <v>53</v>
      </c>
      <c r="E32" s="8">
        <v>0.44097222222222221</v>
      </c>
      <c r="F32" s="3">
        <v>6.99</v>
      </c>
      <c r="G32" s="3">
        <v>58.165999999999997</v>
      </c>
      <c r="H32" s="3">
        <v>2.9590000000000001</v>
      </c>
      <c r="I32" s="3">
        <v>13.680999999999999</v>
      </c>
      <c r="J32" s="3">
        <v>4.3209999999999997</v>
      </c>
    </row>
    <row r="33" spans="1:10" ht="16.149999999999999" x14ac:dyDescent="0.6">
      <c r="A33" s="3" t="s">
        <v>6</v>
      </c>
      <c r="B33" s="3" t="s">
        <v>9</v>
      </c>
      <c r="C33" s="3" t="s">
        <v>11</v>
      </c>
      <c r="D33" s="7" t="s">
        <v>53</v>
      </c>
      <c r="E33" s="8">
        <v>0.44166666666666665</v>
      </c>
      <c r="F33" s="3">
        <v>8.77</v>
      </c>
      <c r="G33" s="3">
        <v>47.393999999999998</v>
      </c>
      <c r="H33" s="3">
        <v>3.6110000000000002</v>
      </c>
      <c r="I33" s="3">
        <v>17.585000000000001</v>
      </c>
      <c r="J33" s="3">
        <v>6.7290000000000001</v>
      </c>
    </row>
    <row r="34" spans="1:10" ht="16.149999999999999" x14ac:dyDescent="0.6">
      <c r="A34" s="3" t="s">
        <v>6</v>
      </c>
      <c r="B34" s="3" t="s">
        <v>9</v>
      </c>
      <c r="C34" s="3" t="s">
        <v>11</v>
      </c>
      <c r="D34" s="7" t="s">
        <v>53</v>
      </c>
      <c r="E34" s="8">
        <v>0.44236111111111109</v>
      </c>
      <c r="F34" s="3">
        <v>10.8</v>
      </c>
      <c r="G34" s="3">
        <v>54.31</v>
      </c>
      <c r="H34" s="3">
        <v>2.8610000000000002</v>
      </c>
      <c r="I34" s="3">
        <v>-1.238</v>
      </c>
      <c r="J34" s="3">
        <v>3.9060000000000001</v>
      </c>
    </row>
    <row r="35" spans="1:10" ht="16.149999999999999" x14ac:dyDescent="0.6">
      <c r="A35" s="3" t="s">
        <v>6</v>
      </c>
      <c r="B35" s="3" t="s">
        <v>9</v>
      </c>
      <c r="C35" s="3" t="s">
        <v>11</v>
      </c>
      <c r="D35" s="7" t="s">
        <v>55</v>
      </c>
      <c r="E35" s="8">
        <v>0.44583333333333336</v>
      </c>
      <c r="F35" s="3">
        <v>7.52</v>
      </c>
      <c r="G35" s="3">
        <v>105.902</v>
      </c>
      <c r="H35" s="3">
        <v>2.2730000000000001</v>
      </c>
      <c r="I35" s="3">
        <v>0.129</v>
      </c>
      <c r="J35" s="3">
        <v>3.133</v>
      </c>
    </row>
    <row r="36" spans="1:10" ht="16.149999999999999" x14ac:dyDescent="0.6">
      <c r="A36" s="3" t="s">
        <v>6</v>
      </c>
      <c r="B36" s="3" t="s">
        <v>9</v>
      </c>
      <c r="C36" s="3" t="s">
        <v>11</v>
      </c>
      <c r="D36" s="7" t="s">
        <v>55</v>
      </c>
      <c r="E36" s="8">
        <v>0.44791666666666669</v>
      </c>
      <c r="F36" s="3">
        <v>8.59</v>
      </c>
      <c r="G36" s="3">
        <v>106.767</v>
      </c>
      <c r="H36" s="3">
        <v>2.8039999999999998</v>
      </c>
      <c r="I36" s="3">
        <v>-2.004</v>
      </c>
      <c r="J36" s="3">
        <v>2.4380000000000002</v>
      </c>
    </row>
    <row r="37" spans="1:10" ht="16.149999999999999" x14ac:dyDescent="0.6">
      <c r="A37" s="3" t="s">
        <v>6</v>
      </c>
      <c r="B37" s="3" t="s">
        <v>9</v>
      </c>
      <c r="C37" s="3" t="s">
        <v>11</v>
      </c>
      <c r="D37" s="7" t="s">
        <v>55</v>
      </c>
      <c r="E37" s="8">
        <v>0.44861111111111113</v>
      </c>
      <c r="F37" s="3">
        <v>5.14</v>
      </c>
      <c r="G37" s="3">
        <v>84.813000000000002</v>
      </c>
      <c r="H37" s="3">
        <v>32.979999999999997</v>
      </c>
      <c r="I37" s="3">
        <v>-0.66500000000000004</v>
      </c>
      <c r="J37" s="3">
        <v>1.839</v>
      </c>
    </row>
    <row r="38" spans="1:10" ht="16.149999999999999" x14ac:dyDescent="0.6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 ht="16.149999999999999" x14ac:dyDescent="0.6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 ht="16.149999999999999" x14ac:dyDescent="0.6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 ht="16.149999999999999" x14ac:dyDescent="0.6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 ht="16.149999999999999" x14ac:dyDescent="0.6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 ht="16.149999999999999" x14ac:dyDescent="0.6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 ht="16.149999999999999" x14ac:dyDescent="0.6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 ht="16.149999999999999" x14ac:dyDescent="0.6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 ht="16.149999999999999" x14ac:dyDescent="0.6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 ht="16.149999999999999" x14ac:dyDescent="0.6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 ht="16.149999999999999" x14ac:dyDescent="0.6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 ht="16.149999999999999" x14ac:dyDescent="0.6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 ht="16.149999999999999" x14ac:dyDescent="0.6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 ht="16.149999999999999" x14ac:dyDescent="0.6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 ht="16.149999999999999" x14ac:dyDescent="0.6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 ht="16.149999999999999" x14ac:dyDescent="0.6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 ht="16.149999999999999" x14ac:dyDescent="0.6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 ht="16.149999999999999" x14ac:dyDescent="0.6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 ht="16.149999999999999" x14ac:dyDescent="0.6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 ht="16.149999999999999" x14ac:dyDescent="0.6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 ht="16.149999999999999" x14ac:dyDescent="0.6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 ht="16.149999999999999" x14ac:dyDescent="0.6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 ht="16.149999999999999" x14ac:dyDescent="0.6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 ht="16.149999999999999" x14ac:dyDescent="0.6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 ht="16.149999999999999" x14ac:dyDescent="0.6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 ht="16.149999999999999" x14ac:dyDescent="0.6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 ht="16.149999999999999" x14ac:dyDescent="0.6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 ht="16.149999999999999" x14ac:dyDescent="0.6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 ht="16.149999999999999" x14ac:dyDescent="0.6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 ht="16.149999999999999" x14ac:dyDescent="0.6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 ht="16.149999999999999" x14ac:dyDescent="0.6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 ht="16.149999999999999" x14ac:dyDescent="0.6">
      <c r="A69" s="3"/>
      <c r="B69" s="3"/>
      <c r="C69" s="3"/>
      <c r="D69" s="3"/>
      <c r="E69" s="3"/>
      <c r="F69" s="3"/>
      <c r="G69" s="3"/>
      <c r="H69" s="3"/>
      <c r="I69" s="3"/>
      <c r="J69" s="3"/>
    </row>
  </sheetData>
  <sortState xmlns:xlrd2="http://schemas.microsoft.com/office/spreadsheetml/2017/richdata2" ref="A2:J69">
    <sortCondition ref="C2:C6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3039B-EBC9-49D8-984A-39143A8D62EF}">
  <dimension ref="A1:S103"/>
  <sheetViews>
    <sheetView tabSelected="1" zoomScaleNormal="100" workbookViewId="0">
      <selection activeCell="U15" sqref="U15"/>
    </sheetView>
  </sheetViews>
  <sheetFormatPr defaultColWidth="8.796875" defaultRowHeight="14.25" x14ac:dyDescent="0.45"/>
  <cols>
    <col min="1" max="1" width="9.33203125" bestFit="1" customWidth="1"/>
    <col min="9" max="9" width="9.3984375" bestFit="1" customWidth="1"/>
  </cols>
  <sheetData>
    <row r="1" spans="1:19" ht="16.149999999999999" x14ac:dyDescent="0.6">
      <c r="A1" s="9" t="s">
        <v>40</v>
      </c>
      <c r="B1" s="3" t="s">
        <v>42</v>
      </c>
      <c r="C1" s="3"/>
      <c r="D1" s="3"/>
      <c r="E1" s="3"/>
      <c r="F1" s="3"/>
      <c r="G1" s="3"/>
      <c r="H1" s="5" t="s">
        <v>60</v>
      </c>
      <c r="I1" s="5" t="s">
        <v>61</v>
      </c>
      <c r="J1" s="3"/>
      <c r="K1" s="3"/>
      <c r="L1" s="3"/>
      <c r="M1" s="3"/>
      <c r="N1" s="3"/>
      <c r="O1" s="3"/>
      <c r="P1" s="3"/>
      <c r="Q1" s="3"/>
      <c r="R1" s="3"/>
      <c r="S1" s="3"/>
    </row>
    <row r="2" spans="1:19" ht="16.149999999999999" x14ac:dyDescent="0.6">
      <c r="A2" s="3" t="s">
        <v>59</v>
      </c>
      <c r="B2" s="3">
        <v>85.661000000000001</v>
      </c>
      <c r="C2" s="3">
        <v>85.796999999999997</v>
      </c>
      <c r="D2" s="3">
        <v>84.998000000000005</v>
      </c>
      <c r="E2" s="3"/>
      <c r="F2" s="3"/>
      <c r="G2" s="3"/>
      <c r="H2" s="3">
        <f>SQRT(((B2-90)^2 +(C2-90)^2 + (D2-90)^2)/3)</f>
        <v>4.5281392057518124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ht="16.149999999999999" x14ac:dyDescent="0.6">
      <c r="A3" s="3" t="s">
        <v>58</v>
      </c>
      <c r="B3" s="3"/>
      <c r="C3" s="3"/>
      <c r="D3" s="3"/>
      <c r="E3" s="3">
        <v>83.162999999999997</v>
      </c>
      <c r="F3" s="3">
        <v>78.396000000000001</v>
      </c>
      <c r="G3" s="3">
        <v>72.091999999999999</v>
      </c>
      <c r="H3" s="3">
        <f>SQRT(((E3-90)^2 +(F3-90)^2 + (G3-90)^2)/3)</f>
        <v>12.936947720901301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19" ht="16.149999999999999" x14ac:dyDescent="0.6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spans="1:19" ht="16.149999999999999" x14ac:dyDescent="0.6">
      <c r="A5" s="5" t="s">
        <v>43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ht="16.149999999999999" x14ac:dyDescent="0.6">
      <c r="A6" s="3" t="s">
        <v>41</v>
      </c>
      <c r="B6" s="3">
        <f>0.918/2</f>
        <v>0.45900000000000002</v>
      </c>
      <c r="C6" s="3">
        <f>1.148/2</f>
        <v>0.57399999999999995</v>
      </c>
      <c r="D6" s="3">
        <f>0.736/2</f>
        <v>0.36799999999999999</v>
      </c>
      <c r="E6" s="3"/>
      <c r="F6" s="3"/>
      <c r="G6" s="3"/>
      <c r="H6" s="3"/>
      <c r="I6" s="3">
        <f>AVERAGE(B6:D6)*2</f>
        <v>0.93399999999999983</v>
      </c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ht="16.149999999999999" x14ac:dyDescent="0.6">
      <c r="A7" s="3" t="s">
        <v>58</v>
      </c>
      <c r="B7" s="3"/>
      <c r="C7" s="3"/>
      <c r="D7" s="3"/>
      <c r="E7" s="6">
        <f>2.659/2</f>
        <v>1.3294999999999999</v>
      </c>
      <c r="F7" s="6">
        <f>6.683/2</f>
        <v>3.3414999999999999</v>
      </c>
      <c r="G7" s="6">
        <f>9.045/2</f>
        <v>4.5225</v>
      </c>
      <c r="H7" s="3"/>
      <c r="I7" s="10">
        <f>AVERAGE(E7:G7)*2</f>
        <v>6.1290000000000004</v>
      </c>
      <c r="J7" s="3"/>
      <c r="K7" s="3"/>
      <c r="L7" s="3"/>
      <c r="M7" s="3"/>
      <c r="N7" s="3"/>
      <c r="O7" s="3"/>
      <c r="P7" s="3"/>
      <c r="Q7" s="3"/>
      <c r="R7" s="3"/>
      <c r="S7" s="3"/>
    </row>
    <row r="8" spans="1:19" ht="16.149999999999999" x14ac:dyDescent="0.6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 spans="1:19" ht="16.149999999999999" x14ac:dyDescent="0.6"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 spans="1:19" ht="16.149999999999999" x14ac:dyDescent="0.6">
      <c r="A10" s="5"/>
      <c r="B10" s="3" t="s">
        <v>44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 spans="1:19" ht="16.149999999999999" x14ac:dyDescent="0.6">
      <c r="A11" s="3" t="s">
        <v>41</v>
      </c>
      <c r="B11" s="3">
        <v>1.202</v>
      </c>
      <c r="C11" s="3">
        <v>1.1739999999999999</v>
      </c>
      <c r="D11" s="3">
        <v>1.397</v>
      </c>
      <c r="E11" s="3"/>
      <c r="F11" s="3"/>
      <c r="H11" s="3">
        <f>SQRT(((B11-0)^2 +(C11-0)^2 + (D11-0)^2)/3)</f>
        <v>1.261571638869549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ht="16.149999999999999" x14ac:dyDescent="0.6">
      <c r="A12" s="3" t="s">
        <v>58</v>
      </c>
      <c r="B12" s="3"/>
      <c r="C12" s="3"/>
      <c r="D12" s="3"/>
      <c r="E12" s="3">
        <v>7.2869999999999999</v>
      </c>
      <c r="F12" s="3">
        <v>0.91</v>
      </c>
      <c r="G12" s="3">
        <v>6.9539999999999997</v>
      </c>
      <c r="H12" s="3">
        <f>SQRT(((E12-0)^2 +(F12-0)^2 + (G12-0)^2)/3)</f>
        <v>5.8391376361011851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19" ht="16.149999999999999" x14ac:dyDescent="0.6">
      <c r="A13" s="3"/>
      <c r="B13" s="3"/>
      <c r="C13" s="3"/>
      <c r="D13" s="3"/>
      <c r="E13" s="3"/>
      <c r="F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pans="1:19" ht="16.149999999999999" x14ac:dyDescent="0.6">
      <c r="A14" s="5" t="s">
        <v>43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19" ht="16.149999999999999" x14ac:dyDescent="0.6">
      <c r="A15" s="3" t="s">
        <v>41</v>
      </c>
      <c r="B15" s="3">
        <f>0.937/2</f>
        <v>0.46850000000000003</v>
      </c>
      <c r="C15" s="3">
        <f>1.132/2</f>
        <v>0.56599999999999995</v>
      </c>
      <c r="D15" s="3">
        <f>4.374/2</f>
        <v>2.1869999999999998</v>
      </c>
      <c r="H15" s="3"/>
      <c r="I15" s="3">
        <f>AVERAGE(B15:D15)*2</f>
        <v>2.1476666666666664</v>
      </c>
      <c r="J15" s="3"/>
      <c r="K15" s="3"/>
      <c r="L15" s="3"/>
      <c r="M15" s="3"/>
      <c r="N15" s="3"/>
      <c r="O15" s="3"/>
      <c r="P15" s="3"/>
      <c r="Q15" s="3"/>
      <c r="R15" s="3"/>
    </row>
    <row r="16" spans="1:19" ht="16.149999999999999" x14ac:dyDescent="0.6">
      <c r="A16" s="3" t="s">
        <v>58</v>
      </c>
      <c r="B16" s="3"/>
      <c r="E16" s="6">
        <f>8.565/2</f>
        <v>4.2824999999999998</v>
      </c>
      <c r="F16" s="6">
        <f>1.7/2</f>
        <v>0.85</v>
      </c>
      <c r="G16" s="6">
        <f>7.869/2</f>
        <v>3.9344999999999999</v>
      </c>
      <c r="H16" s="3"/>
      <c r="I16" s="10">
        <f>AVERAGE(E16:G16)*2</f>
        <v>6.0446666666666671</v>
      </c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ht="16.149999999999999" x14ac:dyDescent="0.6">
      <c r="A17" s="3"/>
      <c r="B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ht="16.149999999999999" x14ac:dyDescent="0.6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ht="16.149999999999999" x14ac:dyDescent="0.6">
      <c r="A19" s="9" t="s">
        <v>45</v>
      </c>
      <c r="B19" s="3" t="s">
        <v>46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19" ht="16.149999999999999" x14ac:dyDescent="0.6">
      <c r="A20" s="3" t="s">
        <v>47</v>
      </c>
      <c r="B20" s="3">
        <v>85.661000000000001</v>
      </c>
      <c r="C20" s="3">
        <v>85.796999999999997</v>
      </c>
      <c r="D20" s="3">
        <v>84.998000000000005</v>
      </c>
      <c r="E20" s="3"/>
      <c r="F20" s="3"/>
      <c r="G20" s="3"/>
      <c r="H20" s="3">
        <f>SQRT(((B20-90)^2 +(C20-90)^2 + (D20-90)^2)/3)</f>
        <v>4.5281392057518124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1:19" ht="16.149999999999999" x14ac:dyDescent="0.6">
      <c r="A21" s="3" t="s">
        <v>48</v>
      </c>
      <c r="B21" s="3"/>
      <c r="C21" s="3"/>
      <c r="D21" s="3"/>
      <c r="E21" s="3">
        <v>87.635999999999996</v>
      </c>
      <c r="F21" s="3">
        <v>87.412999999999997</v>
      </c>
      <c r="G21" s="3">
        <v>86.545000000000002</v>
      </c>
      <c r="H21" s="3">
        <f>SQRT(((E21-90)^2 +(F21-90)^2 + (G21-90)^2)/3)</f>
        <v>2.8412491384365919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ht="16.149999999999999" x14ac:dyDescent="0.6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ht="16.149999999999999" x14ac:dyDescent="0.6">
      <c r="A23" s="5" t="s">
        <v>43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ht="16.149999999999999" x14ac:dyDescent="0.6">
      <c r="A24" s="3" t="s">
        <v>47</v>
      </c>
      <c r="B24" s="3">
        <f>0.918/2</f>
        <v>0.45900000000000002</v>
      </c>
      <c r="C24" s="3">
        <f>1.148/2</f>
        <v>0.57399999999999995</v>
      </c>
      <c r="D24" s="3">
        <f>2.256/2</f>
        <v>1.1279999999999999</v>
      </c>
      <c r="E24" s="3"/>
      <c r="F24" s="3"/>
      <c r="G24" s="3"/>
      <c r="H24" s="3"/>
      <c r="I24" s="3">
        <f>AVERAGE(B24:D24)*2</f>
        <v>1.4406666666666663</v>
      </c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19" ht="16.149999999999999" x14ac:dyDescent="0.6">
      <c r="A25" s="3" t="s">
        <v>48</v>
      </c>
      <c r="B25" s="3"/>
      <c r="C25" s="3"/>
      <c r="D25" s="3"/>
      <c r="E25" s="6">
        <f>1.154/2</f>
        <v>0.57699999999999996</v>
      </c>
      <c r="F25" s="6">
        <f>2.034/2</f>
        <v>1.0169999999999999</v>
      </c>
      <c r="G25" s="6">
        <f>1.725/2</f>
        <v>0.86250000000000004</v>
      </c>
      <c r="H25" s="3"/>
      <c r="I25" s="10">
        <f>AVERAGE(E25:G25)*2</f>
        <v>1.6376666666666668</v>
      </c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pans="1:19" ht="16.149999999999999" x14ac:dyDescent="0.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19" ht="16.149999999999999" x14ac:dyDescent="0.6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</row>
    <row r="28" spans="1:19" ht="16.149999999999999" x14ac:dyDescent="0.6">
      <c r="A28" s="5"/>
      <c r="B28" s="3" t="s">
        <v>49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19" ht="16.149999999999999" x14ac:dyDescent="0.6">
      <c r="A29" s="3" t="s">
        <v>47</v>
      </c>
      <c r="B29" s="3">
        <v>1.202</v>
      </c>
      <c r="C29" s="3">
        <v>1.1739999999999999</v>
      </c>
      <c r="D29" s="3">
        <v>1.397</v>
      </c>
      <c r="E29" s="3"/>
      <c r="F29" s="3"/>
      <c r="H29" s="3">
        <f>SQRT(((B29-0)^2 +(C29-0)^2 + (D29-0)^2)/3)</f>
        <v>1.261571638869549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</row>
    <row r="30" spans="1:19" ht="16.149999999999999" x14ac:dyDescent="0.6">
      <c r="A30" s="3" t="s">
        <v>48</v>
      </c>
      <c r="B30" s="3"/>
      <c r="C30" s="3"/>
      <c r="D30" s="3"/>
      <c r="E30" s="3">
        <v>0.63100000000000001</v>
      </c>
      <c r="F30" s="3">
        <v>-1.216</v>
      </c>
      <c r="G30" s="3">
        <v>0.13800000000000001</v>
      </c>
      <c r="H30" s="3">
        <f>SQRT(((E30-0)^2 +(F30-0)^2 + (G30-0)^2)/3)</f>
        <v>0.79495513500238912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1:19" ht="16.149999999999999" x14ac:dyDescent="0.6">
      <c r="A31" s="3"/>
      <c r="B31" s="3"/>
      <c r="C31" s="3"/>
      <c r="D31" s="3"/>
      <c r="E31" s="3"/>
      <c r="F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</row>
    <row r="32" spans="1:19" ht="16.149999999999999" x14ac:dyDescent="0.6">
      <c r="A32" s="5" t="s">
        <v>43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</row>
    <row r="33" spans="1:19" ht="16.149999999999999" x14ac:dyDescent="0.6">
      <c r="A33" s="3" t="s">
        <v>47</v>
      </c>
      <c r="B33" s="3">
        <f>0.937/2</f>
        <v>0.46850000000000003</v>
      </c>
      <c r="C33" s="3">
        <f>1.132/2</f>
        <v>0.56599999999999995</v>
      </c>
      <c r="D33" s="3">
        <f>4.374/2</f>
        <v>2.1869999999999998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</row>
    <row r="34" spans="1:19" ht="16.149999999999999" x14ac:dyDescent="0.6">
      <c r="A34" s="3" t="s">
        <v>48</v>
      </c>
      <c r="B34" s="3"/>
      <c r="E34" s="6">
        <f>1.422/2</f>
        <v>0.71099999999999997</v>
      </c>
      <c r="F34" s="6">
        <f>1.102/2</f>
        <v>0.55100000000000005</v>
      </c>
      <c r="G34" s="6">
        <f>1.77/2</f>
        <v>0.88500000000000001</v>
      </c>
      <c r="H34" s="3"/>
      <c r="J34" s="3"/>
      <c r="K34" s="3"/>
      <c r="L34" s="3"/>
      <c r="M34" s="3"/>
      <c r="N34" s="3"/>
      <c r="O34" s="3"/>
      <c r="P34" s="3"/>
      <c r="Q34" s="3"/>
      <c r="R34" s="3"/>
      <c r="S34" s="3"/>
    </row>
    <row r="35" spans="1:19" ht="16.149999999999999" x14ac:dyDescent="0.6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ht="16.149999999999999" x14ac:dyDescent="0.6">
      <c r="K36" s="3"/>
      <c r="L36" s="3"/>
      <c r="M36" s="3"/>
      <c r="N36" s="3"/>
      <c r="O36" s="3"/>
      <c r="P36" s="3"/>
      <c r="Q36" s="3"/>
      <c r="R36" s="3"/>
      <c r="S36" s="3"/>
    </row>
    <row r="37" spans="1:19" ht="16.149999999999999" x14ac:dyDescent="0.6">
      <c r="A37" s="9" t="s">
        <v>50</v>
      </c>
      <c r="B37" s="3" t="s">
        <v>51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9" ht="16.149999999999999" x14ac:dyDescent="0.6">
      <c r="A38" s="3" t="s">
        <v>59</v>
      </c>
      <c r="B38" s="3">
        <v>40.914999999999999</v>
      </c>
      <c r="C38" s="3">
        <v>40.356000000000002</v>
      </c>
      <c r="D38" s="3">
        <v>41.701000000000001</v>
      </c>
      <c r="E38" s="3"/>
      <c r="F38" s="3"/>
      <c r="G38" s="3"/>
      <c r="H38" s="3">
        <f>SQRT(((B38-45)^2 +(C38-45)^2 + (D38-45)^2)/3)</f>
        <v>4.0471126333062024</v>
      </c>
      <c r="I38" s="3"/>
      <c r="J38" s="3"/>
      <c r="K38" s="3"/>
      <c r="L38" s="3"/>
      <c r="M38" s="3"/>
    </row>
    <row r="39" spans="1:19" ht="16.149999999999999" x14ac:dyDescent="0.6">
      <c r="A39" s="3" t="s">
        <v>58</v>
      </c>
      <c r="D39" s="3"/>
      <c r="E39" s="3">
        <v>58.165999999999997</v>
      </c>
      <c r="F39" s="3">
        <v>47.393999999999998</v>
      </c>
      <c r="G39" s="3">
        <v>54.31</v>
      </c>
      <c r="H39" s="3">
        <f>SQRT(((E39-45)^2 +(F39-45)^2 + (G39-45)^2)/3)</f>
        <v>9.4118877313037821</v>
      </c>
      <c r="I39" s="3"/>
      <c r="J39" s="3"/>
      <c r="K39" s="3"/>
      <c r="L39" s="3"/>
      <c r="M39" s="3"/>
    </row>
    <row r="40" spans="1:19" ht="16.149999999999999" x14ac:dyDescent="0.6">
      <c r="A40" s="3"/>
      <c r="B40" s="3"/>
      <c r="C40" s="3"/>
      <c r="D40" s="3"/>
      <c r="E40" s="3"/>
      <c r="G40" s="3"/>
      <c r="H40" s="3"/>
      <c r="I40" s="3"/>
      <c r="J40" s="3"/>
      <c r="K40" s="3"/>
      <c r="L40" s="3"/>
      <c r="M40" s="3"/>
    </row>
    <row r="41" spans="1:19" ht="16.149999999999999" x14ac:dyDescent="0.6">
      <c r="A41" s="5" t="s">
        <v>43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  <row r="42" spans="1:19" ht="16.149999999999999" x14ac:dyDescent="0.6">
      <c r="A42" s="3" t="s">
        <v>41</v>
      </c>
      <c r="B42" s="3">
        <f>2.538/2</f>
        <v>1.2689999999999999</v>
      </c>
      <c r="C42" s="3">
        <f>2.364/2</f>
        <v>1.1819999999999999</v>
      </c>
      <c r="D42" s="3">
        <f>2.425/2</f>
        <v>1.2124999999999999</v>
      </c>
      <c r="E42" s="3"/>
      <c r="F42" s="3"/>
      <c r="G42" s="3"/>
      <c r="H42" s="3"/>
      <c r="I42" s="10">
        <f>AVERAGE(B42:D42)*2</f>
        <v>2.442333333333333</v>
      </c>
      <c r="J42" s="3"/>
      <c r="K42" s="3"/>
      <c r="L42" s="3"/>
      <c r="M42" s="3"/>
    </row>
    <row r="43" spans="1:19" ht="16.149999999999999" x14ac:dyDescent="0.6">
      <c r="A43" s="3" t="s">
        <v>58</v>
      </c>
      <c r="B43" s="3"/>
      <c r="C43" s="3"/>
      <c r="D43" s="3"/>
      <c r="E43" s="3">
        <f>2.959/2</f>
        <v>1.4795</v>
      </c>
      <c r="F43" s="3">
        <f>3.611/2</f>
        <v>1.8055000000000001</v>
      </c>
      <c r="G43" s="3">
        <f>2.861/2</f>
        <v>1.4305000000000001</v>
      </c>
      <c r="H43" s="3"/>
      <c r="I43" s="10">
        <f>AVERAGE(E43:G43)*2</f>
        <v>3.1436666666666668</v>
      </c>
      <c r="N43" s="3"/>
      <c r="O43" s="3"/>
      <c r="P43" s="3"/>
      <c r="Q43" s="3"/>
      <c r="R43" s="3"/>
      <c r="S43" s="3"/>
    </row>
    <row r="44" spans="1:19" ht="16.149999999999999" x14ac:dyDescent="0.6">
      <c r="A44" s="3"/>
      <c r="B44" s="3"/>
      <c r="C44" s="3"/>
      <c r="D44" s="3"/>
      <c r="E44" s="3"/>
      <c r="F44" s="3"/>
      <c r="G44" s="3"/>
      <c r="H44" s="3"/>
      <c r="I44" s="3"/>
      <c r="N44" s="3"/>
      <c r="O44" s="3"/>
      <c r="P44" s="3"/>
      <c r="Q44" s="3"/>
      <c r="R44" s="3"/>
      <c r="S44" s="3"/>
    </row>
    <row r="45" spans="1:19" ht="16.149999999999999" x14ac:dyDescent="0.6">
      <c r="B45" s="3"/>
      <c r="C45" s="3"/>
      <c r="D45" s="3"/>
      <c r="E45" s="3"/>
      <c r="F45" s="3"/>
      <c r="G45" s="3"/>
      <c r="H45" s="3"/>
      <c r="I45" s="3"/>
      <c r="N45" s="3"/>
      <c r="O45" s="3"/>
      <c r="P45" s="3"/>
      <c r="Q45" s="3"/>
      <c r="R45" s="3"/>
      <c r="S45" s="3"/>
    </row>
    <row r="46" spans="1:19" ht="16.149999999999999" x14ac:dyDescent="0.6">
      <c r="A46" s="5"/>
      <c r="B46" s="3" t="s">
        <v>52</v>
      </c>
      <c r="C46" s="3"/>
      <c r="D46" s="3"/>
      <c r="E46" s="3"/>
      <c r="F46" s="3"/>
      <c r="G46" s="3"/>
      <c r="H46" s="3"/>
      <c r="I46" s="3"/>
    </row>
    <row r="47" spans="1:19" ht="16.149999999999999" x14ac:dyDescent="0.6">
      <c r="A47" s="3" t="s">
        <v>41</v>
      </c>
      <c r="B47" s="3">
        <v>2.3839999999999999</v>
      </c>
      <c r="C47" s="3">
        <v>2.371</v>
      </c>
      <c r="D47" s="3">
        <v>1.3420000000000001</v>
      </c>
      <c r="E47" s="3"/>
      <c r="F47" s="3"/>
      <c r="G47" s="3"/>
      <c r="H47" s="3">
        <f>SQRT(((B47-0)^2 +(C47-0)^2 + (D47-0)^2)/3)</f>
        <v>2.0901404259044414</v>
      </c>
      <c r="I47" s="3"/>
    </row>
    <row r="48" spans="1:19" ht="16.149999999999999" x14ac:dyDescent="0.6">
      <c r="A48" s="3" t="s">
        <v>58</v>
      </c>
      <c r="B48" s="3"/>
      <c r="C48" s="3"/>
      <c r="D48" s="3"/>
      <c r="E48" s="3">
        <v>13.680999999999999</v>
      </c>
      <c r="F48" s="3">
        <v>17.585000000000001</v>
      </c>
      <c r="G48" s="3">
        <v>-1.238</v>
      </c>
      <c r="H48" s="3">
        <f>SQRT(((E48-0)^2 +(F48-0)^2 + (G48-0)^2)/3)</f>
        <v>12.883253082975587</v>
      </c>
      <c r="I48" s="3"/>
    </row>
    <row r="49" spans="1:19" ht="16.149999999999999" x14ac:dyDescent="0.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</row>
    <row r="50" spans="1:19" ht="16.149999999999999" x14ac:dyDescent="0.6">
      <c r="A50" s="5" t="s">
        <v>43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9" ht="16.149999999999999" x14ac:dyDescent="0.6">
      <c r="A51" s="3" t="s">
        <v>41</v>
      </c>
      <c r="B51" s="3">
        <f>2.621/2</f>
        <v>1.3105</v>
      </c>
      <c r="C51" s="3">
        <f>2.597/2</f>
        <v>1.2985</v>
      </c>
      <c r="D51" s="3">
        <f>3.454/2</f>
        <v>1.7270000000000001</v>
      </c>
      <c r="E51" s="3"/>
      <c r="F51" s="3"/>
      <c r="G51" s="3"/>
      <c r="H51" s="3"/>
      <c r="I51" s="3"/>
      <c r="J51" s="3"/>
      <c r="K51" s="3"/>
      <c r="L51" s="3"/>
      <c r="M51" s="3"/>
    </row>
    <row r="52" spans="1:19" ht="16.149999999999999" x14ac:dyDescent="0.6">
      <c r="A52" s="3" t="s">
        <v>58</v>
      </c>
      <c r="B52" s="3"/>
      <c r="C52" s="3"/>
      <c r="D52" s="3"/>
      <c r="E52" s="3">
        <f>4.321/2</f>
        <v>2.1604999999999999</v>
      </c>
      <c r="F52" s="3">
        <f>6.729/2</f>
        <v>3.3645</v>
      </c>
      <c r="G52" s="3">
        <f>3.906/2</f>
        <v>1.9530000000000001</v>
      </c>
      <c r="H52" s="3"/>
      <c r="I52" s="10"/>
      <c r="J52" s="3"/>
      <c r="K52" s="3"/>
      <c r="L52" s="3"/>
      <c r="M52" s="3"/>
      <c r="N52" s="3"/>
      <c r="O52" s="3"/>
      <c r="P52" s="3"/>
      <c r="Q52" s="3"/>
      <c r="R52" s="3"/>
      <c r="S52" s="3"/>
    </row>
    <row r="53" spans="1:19" ht="16.149999999999999" x14ac:dyDescent="0.6">
      <c r="A53" s="3"/>
      <c r="B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</row>
    <row r="54" spans="1:19" ht="16.149999999999999" x14ac:dyDescent="0.6">
      <c r="A54" s="3"/>
      <c r="B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</row>
    <row r="55" spans="1:19" ht="16.149999999999999" x14ac:dyDescent="0.6">
      <c r="A55" s="9" t="s">
        <v>54</v>
      </c>
      <c r="B55" s="3" t="s">
        <v>56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1:19" ht="16.149999999999999" x14ac:dyDescent="0.6">
      <c r="A56" s="3" t="s">
        <v>59</v>
      </c>
      <c r="B56" s="3">
        <v>85.86</v>
      </c>
      <c r="C56" s="3">
        <v>87.283000000000001</v>
      </c>
      <c r="D56" s="3">
        <v>86.131</v>
      </c>
      <c r="E56" s="3"/>
      <c r="F56" s="3"/>
      <c r="G56" s="3"/>
      <c r="H56" s="3">
        <f>SQRT(((B56-90)^2 +(C56-90)^2 + (D56-90)^2)/3)</f>
        <v>3.6281698784189618</v>
      </c>
      <c r="I56" s="3"/>
      <c r="J56" s="3"/>
      <c r="K56" s="3"/>
      <c r="L56" s="3"/>
      <c r="M56" s="3"/>
      <c r="N56" s="3"/>
    </row>
    <row r="57" spans="1:19" ht="16.149999999999999" x14ac:dyDescent="0.6">
      <c r="A57" s="3" t="s">
        <v>58</v>
      </c>
      <c r="C57" s="3"/>
      <c r="D57" s="3"/>
      <c r="E57" s="3">
        <v>105.902</v>
      </c>
      <c r="F57" s="3">
        <v>106.767</v>
      </c>
      <c r="G57" s="3">
        <v>84.813000000000002</v>
      </c>
      <c r="H57" s="3">
        <f>SQRT(((E57-90)^2 +(F57-90)^2 + (G57-90)^2)/3)</f>
        <v>13.673707885329907</v>
      </c>
      <c r="I57" s="3"/>
      <c r="J57" s="3"/>
      <c r="K57" s="3"/>
      <c r="L57" s="3"/>
      <c r="M57" s="3"/>
      <c r="N57" s="3"/>
    </row>
    <row r="58" spans="1:19" ht="16.149999999999999" x14ac:dyDescent="0.6">
      <c r="A58" s="3"/>
      <c r="B58" s="3"/>
      <c r="C58" s="3"/>
      <c r="D58" s="3"/>
      <c r="E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</row>
    <row r="59" spans="1:19" ht="16.149999999999999" x14ac:dyDescent="0.6">
      <c r="A59" s="5" t="s">
        <v>43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</row>
    <row r="60" spans="1:19" ht="16.149999999999999" x14ac:dyDescent="0.6">
      <c r="A60" s="3" t="s">
        <v>41</v>
      </c>
      <c r="B60" s="3">
        <f>2.701/2</f>
        <v>1.3505</v>
      </c>
      <c r="C60" s="3">
        <f>2.284/2</f>
        <v>1.1419999999999999</v>
      </c>
      <c r="D60" s="3">
        <f>3.726/2</f>
        <v>1.863</v>
      </c>
      <c r="E60" s="3"/>
      <c r="F60" s="3"/>
      <c r="G60" s="3"/>
      <c r="H60" s="3"/>
      <c r="I60" s="3">
        <f>AVERAGE(B60:D60)*2</f>
        <v>2.9036666666666662</v>
      </c>
      <c r="J60" s="3"/>
      <c r="K60" s="3"/>
      <c r="L60" s="3"/>
      <c r="M60" s="3"/>
      <c r="N60" s="3"/>
      <c r="O60" s="3"/>
      <c r="P60" s="3"/>
      <c r="Q60" s="3"/>
      <c r="R60" s="3"/>
      <c r="S60" s="3"/>
    </row>
    <row r="61" spans="1:19" ht="16.149999999999999" x14ac:dyDescent="0.6">
      <c r="A61" s="3" t="s">
        <v>58</v>
      </c>
      <c r="B61" s="3"/>
      <c r="C61" s="3"/>
      <c r="D61" s="3"/>
      <c r="E61" s="3">
        <f>2.273/2</f>
        <v>1.1365000000000001</v>
      </c>
      <c r="F61" s="3">
        <f>2.804/2</f>
        <v>1.4019999999999999</v>
      </c>
      <c r="G61" s="3">
        <f>32.98/2</f>
        <v>16.489999999999998</v>
      </c>
      <c r="H61" s="3"/>
      <c r="I61" s="10">
        <f>AVERAGE(E61:G61)*2</f>
        <v>12.685666666666664</v>
      </c>
      <c r="J61" s="3"/>
      <c r="K61" s="3"/>
      <c r="L61" s="3"/>
      <c r="M61" s="3"/>
      <c r="N61" s="3"/>
      <c r="O61" s="3"/>
      <c r="P61" s="3"/>
      <c r="Q61" s="3"/>
      <c r="R61" s="3"/>
      <c r="S61" s="3"/>
    </row>
    <row r="62" spans="1:19" ht="16.149999999999999" x14ac:dyDescent="0.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</row>
    <row r="63" spans="1:19" ht="16.149999999999999" x14ac:dyDescent="0.6"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</row>
    <row r="64" spans="1:19" ht="16.149999999999999" x14ac:dyDescent="0.6">
      <c r="A64" s="5"/>
      <c r="B64" s="3" t="s">
        <v>57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</row>
    <row r="65" spans="1:19" ht="16.149999999999999" x14ac:dyDescent="0.6">
      <c r="A65" s="3" t="s">
        <v>41</v>
      </c>
      <c r="B65" s="3">
        <v>0.20499999999999999</v>
      </c>
      <c r="C65" s="3">
        <v>1.103</v>
      </c>
      <c r="D65" s="3">
        <v>1.6379999999999999</v>
      </c>
      <c r="E65" s="3"/>
      <c r="F65" s="3"/>
      <c r="G65" s="3"/>
      <c r="H65" s="3">
        <f>SQRT(((B65-0)^2 +(C65-0)^2 + (D65-0)^2)/3)</f>
        <v>1.1462515721545017</v>
      </c>
      <c r="I65" s="3"/>
      <c r="J65" s="3"/>
      <c r="K65" s="3"/>
      <c r="L65" s="3"/>
      <c r="M65" s="3"/>
    </row>
    <row r="66" spans="1:19" ht="16.149999999999999" x14ac:dyDescent="0.6">
      <c r="A66" s="3" t="s">
        <v>58</v>
      </c>
      <c r="B66" s="3"/>
      <c r="C66" s="3"/>
      <c r="D66" s="3"/>
      <c r="E66" s="3">
        <v>0.129</v>
      </c>
      <c r="F66" s="3">
        <v>-2.004</v>
      </c>
      <c r="G66" s="3">
        <v>-0.66500000000000004</v>
      </c>
      <c r="H66" s="3">
        <f>SQRT(((E66-0)^2 +(F66-0)^2 + (G66-0)^2)/3)</f>
        <v>1.2213219613735491</v>
      </c>
      <c r="I66" s="3"/>
      <c r="J66" s="3"/>
      <c r="K66" s="3"/>
      <c r="L66" s="3"/>
      <c r="M66" s="3"/>
    </row>
    <row r="67" spans="1:19" ht="16.149999999999999" x14ac:dyDescent="0.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1:19" ht="16.149999999999999" x14ac:dyDescent="0.6">
      <c r="A68" s="5" t="s">
        <v>43</v>
      </c>
      <c r="B68" s="3"/>
      <c r="C68" s="3"/>
      <c r="D68" s="3"/>
      <c r="E68" s="3"/>
      <c r="F68" s="3"/>
      <c r="G68" s="3"/>
      <c r="H68" s="3"/>
      <c r="I68" s="3"/>
      <c r="J68" s="3"/>
      <c r="K68" s="3"/>
      <c r="M68" s="3"/>
      <c r="O68" s="3"/>
      <c r="P68" s="3"/>
      <c r="Q68" s="3"/>
      <c r="R68" s="3"/>
      <c r="S68" s="3"/>
    </row>
    <row r="69" spans="1:19" ht="16.149999999999999" x14ac:dyDescent="0.6">
      <c r="A69" s="3" t="s">
        <v>41</v>
      </c>
      <c r="B69" s="3">
        <f>2.894/2</f>
        <v>1.4470000000000001</v>
      </c>
      <c r="C69" s="3">
        <f>3.96/2</f>
        <v>1.98</v>
      </c>
      <c r="D69" s="3">
        <f>2.204/2</f>
        <v>1.1020000000000001</v>
      </c>
      <c r="E69" s="3"/>
      <c r="F69" s="3"/>
      <c r="G69" s="3"/>
      <c r="H69" s="3"/>
      <c r="I69" s="3"/>
      <c r="J69" s="3"/>
      <c r="K69" s="3"/>
      <c r="M69" s="3"/>
      <c r="O69" s="3"/>
      <c r="P69" s="3"/>
      <c r="Q69" s="3"/>
      <c r="R69" s="3"/>
      <c r="S69" s="3"/>
    </row>
    <row r="70" spans="1:19" ht="16.149999999999999" x14ac:dyDescent="0.6">
      <c r="A70" s="3" t="s">
        <v>58</v>
      </c>
      <c r="B70" s="3"/>
      <c r="C70" s="3"/>
      <c r="D70" s="3"/>
      <c r="E70" s="3">
        <f>3.133/2</f>
        <v>1.5665</v>
      </c>
      <c r="F70" s="3">
        <f>2.438/2</f>
        <v>1.2190000000000001</v>
      </c>
      <c r="G70" s="3">
        <f>1.839/2</f>
        <v>0.91949999999999998</v>
      </c>
      <c r="H70" s="3"/>
      <c r="I70" s="10"/>
      <c r="J70" s="3"/>
      <c r="K70" s="3"/>
      <c r="M70" s="3"/>
      <c r="O70" s="3"/>
      <c r="P70" s="3"/>
      <c r="Q70" s="3"/>
      <c r="R70" s="3"/>
      <c r="S70" s="3"/>
    </row>
    <row r="71" spans="1:19" ht="16.149999999999999" x14ac:dyDescent="0.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M71" s="3"/>
      <c r="O71" s="3"/>
      <c r="P71" s="3"/>
      <c r="Q71" s="3"/>
      <c r="R71" s="3"/>
      <c r="S71" s="3"/>
    </row>
    <row r="72" spans="1:19" ht="16.149999999999999" x14ac:dyDescent="0.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M72" s="3"/>
      <c r="O72" s="3"/>
      <c r="P72" s="3"/>
      <c r="Q72" s="3"/>
      <c r="R72" s="3"/>
      <c r="S72" s="3"/>
    </row>
    <row r="73" spans="1:19" ht="16.149999999999999" x14ac:dyDescent="0.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M73" s="3"/>
      <c r="O73" s="3"/>
      <c r="P73" s="3"/>
      <c r="Q73" s="3"/>
      <c r="R73" s="3"/>
      <c r="S73" s="3"/>
    </row>
    <row r="74" spans="1:19" ht="16.149999999999999" x14ac:dyDescent="0.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</row>
    <row r="75" spans="1:19" ht="16.149999999999999" x14ac:dyDescent="0.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</row>
    <row r="76" spans="1:19" ht="16.149999999999999" x14ac:dyDescent="0.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</row>
    <row r="77" spans="1:19" ht="16.149999999999999" x14ac:dyDescent="0.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</row>
    <row r="78" spans="1:19" ht="16.149999999999999" x14ac:dyDescent="0.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</row>
    <row r="79" spans="1:19" ht="16.149999999999999" x14ac:dyDescent="0.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</row>
    <row r="80" spans="1:19" ht="16.149999999999999" x14ac:dyDescent="0.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</row>
    <row r="81" spans="1:19" ht="16.149999999999999" x14ac:dyDescent="0.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</row>
    <row r="82" spans="1:19" ht="16.149999999999999" x14ac:dyDescent="0.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1:19" ht="16.149999999999999" x14ac:dyDescent="0.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</row>
    <row r="84" spans="1:19" ht="16.149999999999999" x14ac:dyDescent="0.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</row>
    <row r="85" spans="1:19" ht="16.149999999999999" x14ac:dyDescent="0.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</row>
    <row r="86" spans="1:19" ht="16.149999999999999" x14ac:dyDescent="0.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</row>
    <row r="87" spans="1:19" ht="16.149999999999999" x14ac:dyDescent="0.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</row>
    <row r="88" spans="1:19" ht="16.149999999999999" x14ac:dyDescent="0.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</row>
    <row r="89" spans="1:19" ht="16.149999999999999" x14ac:dyDescent="0.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</row>
    <row r="90" spans="1:19" ht="16.149999999999999" x14ac:dyDescent="0.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1:19" ht="16.149999999999999" x14ac:dyDescent="0.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</row>
    <row r="92" spans="1:19" ht="16.149999999999999" x14ac:dyDescent="0.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</row>
    <row r="93" spans="1:19" ht="16.149999999999999" x14ac:dyDescent="0.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</row>
    <row r="94" spans="1:19" ht="16.149999999999999" x14ac:dyDescent="0.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</row>
    <row r="95" spans="1:19" ht="16.149999999999999" x14ac:dyDescent="0.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1:19" ht="16.149999999999999" x14ac:dyDescent="0.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</row>
    <row r="97" spans="1:19" ht="16.149999999999999" x14ac:dyDescent="0.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</row>
    <row r="98" spans="1:19" ht="16.149999999999999" x14ac:dyDescent="0.6">
      <c r="A98" s="3"/>
      <c r="B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</row>
    <row r="99" spans="1:19" ht="16.149999999999999" x14ac:dyDescent="0.6">
      <c r="A99" s="3"/>
      <c r="B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</row>
    <row r="100" spans="1:19" ht="16.149999999999999" x14ac:dyDescent="0.6">
      <c r="A100" s="3"/>
      <c r="B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</row>
    <row r="101" spans="1:19" ht="16.149999999999999" x14ac:dyDescent="0.6">
      <c r="A101" s="3"/>
      <c r="B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</row>
    <row r="102" spans="1:19" ht="16.149999999999999" x14ac:dyDescent="0.6">
      <c r="A102" s="3"/>
      <c r="B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</row>
    <row r="103" spans="1:19" ht="16.149999999999999" x14ac:dyDescent="0.6">
      <c r="A103" s="3"/>
      <c r="B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Graphs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Scalia</dc:creator>
  <cp:lastModifiedBy>Nicolas Scalia</cp:lastModifiedBy>
  <dcterms:created xsi:type="dcterms:W3CDTF">2024-12-07T19:09:59Z</dcterms:created>
  <dcterms:modified xsi:type="dcterms:W3CDTF">2025-01-29T12:58:02Z</dcterms:modified>
</cp:coreProperties>
</file>