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709976_polimi_it/Documents/Shared Folders/Collaborative Project/CONSEGNA WEBEEP/Group 3B/ASPEN_DEMO/ASPEN_CONTROL/DATA_ANALYSIS/_TESTS/ASPEN_DELAY/"/>
    </mc:Choice>
  </mc:AlternateContent>
  <xr:revisionPtr revIDLastSave="452" documentId="8_{85D614F0-AA92-4C0D-A14D-91BF017ADF67}" xr6:coauthVersionLast="47" xr6:coauthVersionMax="47" xr10:uidLastSave="{5A373C96-F567-40BF-A386-AD9E8520BE71}"/>
  <bookViews>
    <workbookView xWindow="-98" yWindow="-98" windowWidth="21795" windowHeight="12975" activeTab="1" xr2:uid="{9E84E7CA-D5CA-478F-8B24-C7C5320F2B8C}"/>
  </bookViews>
  <sheets>
    <sheet name="Data" sheetId="1" r:id="rId1"/>
    <sheet name="Graph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21" i="2"/>
  <c r="C20" i="2"/>
  <c r="C18" i="2"/>
  <c r="C17" i="2"/>
  <c r="C6" i="2"/>
  <c r="C5" i="2"/>
  <c r="C4" i="2"/>
  <c r="C3" i="2"/>
  <c r="C2" i="2"/>
  <c r="H48" i="1"/>
  <c r="H45" i="1"/>
  <c r="H47" i="1"/>
  <c r="H32" i="1"/>
  <c r="H3" i="1"/>
  <c r="H12" i="1"/>
  <c r="H21" i="1"/>
  <c r="H30" i="1"/>
  <c r="H33" i="1"/>
  <c r="H31" i="1"/>
  <c r="H24" i="1"/>
  <c r="H23" i="1"/>
  <c r="H22" i="1"/>
  <c r="H15" i="1"/>
  <c r="H14" i="1"/>
  <c r="H13" i="1"/>
  <c r="H4" i="1"/>
  <c r="B61" i="1"/>
  <c r="B60" i="1"/>
  <c r="B57" i="1"/>
  <c r="B56" i="1"/>
  <c r="E41" i="1"/>
  <c r="E38" i="1"/>
  <c r="E34" i="1"/>
  <c r="E33" i="1"/>
  <c r="E30" i="1"/>
  <c r="E37" i="1"/>
  <c r="E52" i="1"/>
  <c r="E53" i="1"/>
  <c r="E54" i="1"/>
  <c r="E51" i="1"/>
  <c r="E45" i="1"/>
  <c r="E47" i="1"/>
  <c r="E50" i="1"/>
  <c r="E46" i="1"/>
  <c r="E21" i="1"/>
  <c r="E26" i="1"/>
  <c r="E25" i="1"/>
  <c r="E24" i="1"/>
  <c r="E23" i="1"/>
  <c r="E22" i="1"/>
  <c r="E13" i="1"/>
  <c r="E14" i="1"/>
  <c r="E15" i="1"/>
  <c r="E16" i="1"/>
  <c r="E17" i="1"/>
  <c r="E12" i="1"/>
  <c r="E4" i="1"/>
  <c r="E5" i="1"/>
  <c r="E6" i="1"/>
  <c r="E7" i="1"/>
  <c r="E8" i="1"/>
  <c r="H6" i="1" s="1"/>
  <c r="E3" i="1"/>
  <c r="H5" i="1" l="1"/>
</calcChain>
</file>

<file path=xl/sharedStrings.xml><?xml version="1.0" encoding="utf-8"?>
<sst xmlns="http://schemas.openxmlformats.org/spreadsheetml/2006/main" count="70" uniqueCount="25">
  <si>
    <t>Movement Number</t>
  </si>
  <si>
    <t>Trigger Type</t>
  </si>
  <si>
    <t>Timestamp</t>
  </si>
  <si>
    <t>ARDUINO</t>
  </si>
  <si>
    <t>Delay</t>
  </si>
  <si>
    <t>File 1 - 11-45-40</t>
  </si>
  <si>
    <t>File 2 - 11-51-22</t>
  </si>
  <si>
    <t>File 3 - 11-58-55</t>
  </si>
  <si>
    <t>NO</t>
  </si>
  <si>
    <t>File 4 - 12-01-43</t>
  </si>
  <si>
    <t>File 5 - 12-11-12</t>
  </si>
  <si>
    <t>Delay Mediana Trigger 1</t>
  </si>
  <si>
    <t>IQR Trigger 1</t>
  </si>
  <si>
    <t>Delay Mediana Trigger 0</t>
  </si>
  <si>
    <t>IQR Trigger 0</t>
  </si>
  <si>
    <t>Total Trigger 1</t>
  </si>
  <si>
    <t>Total Trigger 0</t>
  </si>
  <si>
    <t>Successes Trigger 1</t>
  </si>
  <si>
    <t>Successes Trigger 0</t>
  </si>
  <si>
    <t>% Successes Trigger 1</t>
  </si>
  <si>
    <t>% Successes Trigger 0</t>
  </si>
  <si>
    <t>Trigger 1</t>
  </si>
  <si>
    <t>Median</t>
  </si>
  <si>
    <t>IQR/2</t>
  </si>
  <si>
    <t>Trigger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</si>
</sst>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ss.000"/>
    <numFmt numFmtId="165" formatCode="0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Manrope"/>
    </font>
    <font>
      <b/>
      <sz val="11"/>
      <color theme="1"/>
      <name val="Manrope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164" fontId="18" fillId="0" borderId="0" xfId="0" applyNumberFormat="1" applyFont="1"/>
    <xf numFmtId="0" fontId="19" fillId="0" borderId="0" xfId="0" applyFont="1"/>
    <xf numFmtId="165" fontId="18" fillId="0" borderId="0" xfId="0" applyNumberFormat="1" applyFont="1"/>
    <xf numFmtId="0" fontId="18" fillId="0" borderId="0" xfId="0" applyFont="1" applyAlignment="1">
      <alignment horizontal="left"/>
    </xf>
    <xf numFmtId="165" fontId="18" fillId="33" borderId="0" xfId="0" applyNumberFormat="1" applyFont="1" applyFill="1"/>
    <xf numFmtId="0" fontId="19" fillId="33" borderId="0" xfId="0" applyFont="1" applyFill="1"/>
    <xf numFmtId="0" fontId="18" fillId="33" borderId="0" xfId="0" applyFont="1" applyFill="1"/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defRPr>
            </a:pPr>
            <a:r>
              <a:rPr lang="en-US" b="1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Delay Target</a:t>
            </a:r>
            <a:r>
              <a:rPr lang="en-US" b="1" baseline="0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 Position (90</a:t>
            </a:r>
            <a:r>
              <a:rPr lang="en-US" b="0" baseline="0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°</a:t>
            </a:r>
            <a:r>
              <a:rPr lang="en-US" b="1" baseline="0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ADLaM Display" panose="020F0502020204030204" pitchFamily="2" charset="0"/>
              <a:cs typeface="ADLaM Display" panose="020F0502020204030204" pitchFamily="2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Graphs!$A$2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Graphs!$C$2</c:f>
                <c:numCache>
                  <c:formatCode>General</c:formatCode>
                  <c:ptCount val="1"/>
                  <c:pt idx="0">
                    <c:v>0.193</c:v>
                  </c:pt>
                </c:numCache>
              </c:numRef>
            </c:plus>
            <c:minus>
              <c:numRef>
                <c:f>Graphs!$C$2</c:f>
                <c:numCache>
                  <c:formatCode>General</c:formatCode>
                  <c:ptCount val="1"/>
                  <c:pt idx="0">
                    <c:v>0.193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Graphs!$B$2</c:f>
              <c:numCache>
                <c:formatCode>00.000</c:formatCode>
                <c:ptCount val="1"/>
                <c:pt idx="0">
                  <c:v>1.0029999999999999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83-4240-8A7B-BBC362CC6698}"/>
            </c:ext>
          </c:extLst>
        </c:ser>
        <c:ser>
          <c:idx val="1"/>
          <c:order val="1"/>
          <c:tx>
            <c:strRef>
              <c:f>Graphs!$A$3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Graphs!$C$3</c:f>
                <c:numCache>
                  <c:formatCode>General</c:formatCode>
                  <c:ptCount val="1"/>
                  <c:pt idx="0">
                    <c:v>0.18049999999999999</c:v>
                  </c:pt>
                </c:numCache>
              </c:numRef>
            </c:plus>
            <c:minus>
              <c:numRef>
                <c:f>Graphs!$C$3</c:f>
                <c:numCache>
                  <c:formatCode>General</c:formatCode>
                  <c:ptCount val="1"/>
                  <c:pt idx="0">
                    <c:v>0.18049999999999999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Graphs!$B$3</c:f>
              <c:numCache>
                <c:formatCode>00.000</c:formatCode>
                <c:ptCount val="1"/>
                <c:pt idx="0">
                  <c:v>1.113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83-4240-8A7B-BBC362CC6698}"/>
            </c:ext>
          </c:extLst>
        </c:ser>
        <c:ser>
          <c:idx val="2"/>
          <c:order val="2"/>
          <c:tx>
            <c:strRef>
              <c:f>Graphs!$A$4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Graphs!$C$4</c:f>
                <c:numCache>
                  <c:formatCode>General</c:formatCode>
                  <c:ptCount val="1"/>
                  <c:pt idx="0">
                    <c:v>0.223</c:v>
                  </c:pt>
                </c:numCache>
              </c:numRef>
            </c:plus>
            <c:minus>
              <c:numRef>
                <c:f>Graphs!$C$4</c:f>
                <c:numCache>
                  <c:formatCode>General</c:formatCode>
                  <c:ptCount val="1"/>
                  <c:pt idx="0">
                    <c:v>0.223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Graphs!$B$4</c:f>
              <c:numCache>
                <c:formatCode>00.000</c:formatCode>
                <c:ptCount val="1"/>
                <c:pt idx="0">
                  <c:v>1.1140000000000001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A83-4240-8A7B-BBC362CC6698}"/>
            </c:ext>
          </c:extLst>
        </c:ser>
        <c:ser>
          <c:idx val="3"/>
          <c:order val="3"/>
          <c:tx>
            <c:strRef>
              <c:f>Graphs!$A$5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Graphs!$C$5</c:f>
                <c:numCache>
                  <c:formatCode>General</c:formatCode>
                  <c:ptCount val="1"/>
                  <c:pt idx="0">
                    <c:v>0.40849999999999997</c:v>
                  </c:pt>
                </c:numCache>
              </c:numRef>
            </c:plus>
            <c:minus>
              <c:numRef>
                <c:f>Graphs!$C$5</c:f>
                <c:numCache>
                  <c:formatCode>General</c:formatCode>
                  <c:ptCount val="1"/>
                  <c:pt idx="0">
                    <c:v>0.40849999999999997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Graphs!$B$5</c:f>
              <c:numCache>
                <c:formatCode>00.000</c:formatCode>
                <c:ptCount val="1"/>
                <c:pt idx="0">
                  <c:v>1.4370000000000001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A83-4240-8A7B-BBC362CC6698}"/>
            </c:ext>
          </c:extLst>
        </c:ser>
        <c:ser>
          <c:idx val="4"/>
          <c:order val="4"/>
          <c:tx>
            <c:strRef>
              <c:f>Graphs!$A$6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Graphs!$C$6</c:f>
                <c:numCache>
                  <c:formatCode>General</c:formatCode>
                  <c:ptCount val="1"/>
                  <c:pt idx="0">
                    <c:v>0.63849999999999996</c:v>
                  </c:pt>
                </c:numCache>
              </c:numRef>
            </c:plus>
            <c:minus>
              <c:numRef>
                <c:f>Graphs!$C$6</c:f>
                <c:numCache>
                  <c:formatCode>General</c:formatCode>
                  <c:ptCount val="1"/>
                  <c:pt idx="0">
                    <c:v>0.63849999999999996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Graphs!$B$6</c:f>
              <c:numCache>
                <c:formatCode>00.000</c:formatCode>
                <c:ptCount val="1"/>
                <c:pt idx="0">
                  <c:v>1.8109999999999999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A83-4240-8A7B-BBC362CC66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7020272"/>
        <c:axId val="307021712"/>
      </c:barChart>
      <c:catAx>
        <c:axId val="30702027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r>
                  <a:rPr lang="en-US"/>
                  <a:t>Files</a:t>
                </a:r>
              </a:p>
            </c:rich>
          </c:tx>
          <c:layout>
            <c:manualLayout>
              <c:xMode val="edge"/>
              <c:yMode val="edge"/>
              <c:x val="1.3888820538057742E-2"/>
              <c:y val="0.367100341044152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307021712"/>
        <c:crosses val="autoZero"/>
        <c:auto val="1"/>
        <c:lblAlgn val="ctr"/>
        <c:lblOffset val="100"/>
        <c:noMultiLvlLbl val="0"/>
      </c:catAx>
      <c:valAx>
        <c:axId val="307021712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[ss.mmm]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/>
                  <a:ea typeface="+mn-ea"/>
                  <a:cs typeface="+mn-cs"/>
                </a:defRPr>
              </a:pPr>
              <a:endParaRPr lang="en-US"/>
            </a:p>
          </c:txPr>
        </c:title>
        <c:numFmt formatCode="00.0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/>
                <a:ea typeface="+mn-ea"/>
                <a:cs typeface="+mn-cs"/>
              </a:defRPr>
            </a:pPr>
            <a:endParaRPr lang="en-US"/>
          </a:p>
        </c:txPr>
        <c:crossAx val="30702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9843134842519679"/>
          <c:y val="0.88207317045062539"/>
          <c:w val="0.13022063648293963"/>
          <c:h val="8.8654961504804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defRPr>
            </a:pPr>
            <a:r>
              <a:rPr lang="en-US" b="1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Delay Rest</a:t>
            </a:r>
            <a:r>
              <a:rPr lang="en-US" b="1" baseline="0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 Position</a:t>
            </a:r>
            <a:r>
              <a:rPr lang="en-US" b="1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 (</a:t>
            </a:r>
            <a:r>
              <a:rPr lang="en-US" b="1" baseline="0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0</a:t>
            </a:r>
            <a:r>
              <a:rPr lang="en-US" b="0" baseline="0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°</a:t>
            </a:r>
            <a:r>
              <a:rPr lang="en-US" b="1" baseline="0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ADLaM Display" panose="020F0502020204030204" pitchFamily="2" charset="0"/>
              <a:cs typeface="ADLaM Display" panose="020F0502020204030204" pitchFamily="2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Graphs!$A$17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Graphs!$C$17</c:f>
                <c:numCache>
                  <c:formatCode>General</c:formatCode>
                  <c:ptCount val="1"/>
                  <c:pt idx="0">
                    <c:v>7.5499999999999998E-2</c:v>
                  </c:pt>
                </c:numCache>
              </c:numRef>
            </c:plus>
            <c:minus>
              <c:numRef>
                <c:f>Graphs!$C$17</c:f>
                <c:numCache>
                  <c:formatCode>General</c:formatCode>
                  <c:ptCount val="1"/>
                  <c:pt idx="0">
                    <c:v>7.5499999999999998E-2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Graphs!$B$17</c:f>
              <c:numCache>
                <c:formatCode>00.000</c:formatCode>
                <c:ptCount val="1"/>
                <c:pt idx="0">
                  <c:v>1.0289999999999999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F4-4998-BB81-3410879C863E}"/>
            </c:ext>
          </c:extLst>
        </c:ser>
        <c:ser>
          <c:idx val="1"/>
          <c:order val="1"/>
          <c:tx>
            <c:strRef>
              <c:f>Graphs!$A$18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Graphs!$C$18</c:f>
                <c:numCache>
                  <c:formatCode>General</c:formatCode>
                  <c:ptCount val="1"/>
                  <c:pt idx="0">
                    <c:v>3.805E-2</c:v>
                  </c:pt>
                </c:numCache>
              </c:numRef>
            </c:plus>
            <c:minus>
              <c:numRef>
                <c:f>Graphs!$C$18</c:f>
                <c:numCache>
                  <c:formatCode>General</c:formatCode>
                  <c:ptCount val="1"/>
                  <c:pt idx="0">
                    <c:v>3.805E-2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Graphs!$B$18</c:f>
              <c:numCache>
                <c:formatCode>00.000</c:formatCode>
                <c:ptCount val="1"/>
                <c:pt idx="0">
                  <c:v>1.0529999999999999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F4-4998-BB81-3410879C863E}"/>
            </c:ext>
          </c:extLst>
        </c:ser>
        <c:ser>
          <c:idx val="2"/>
          <c:order val="2"/>
          <c:tx>
            <c:strRef>
              <c:f>Graphs!$A$19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Graphs!$C$19</c:f>
                <c:numCache>
                  <c:formatCode>General</c:formatCode>
                  <c:ptCount val="1"/>
                  <c:pt idx="0">
                    <c:v>1.95E-2</c:v>
                  </c:pt>
                </c:numCache>
              </c:numRef>
            </c:plus>
            <c:minus>
              <c:numRef>
                <c:f>Graphs!$C$19</c:f>
                <c:numCache>
                  <c:formatCode>General</c:formatCode>
                  <c:ptCount val="1"/>
                  <c:pt idx="0">
                    <c:v>1.95E-2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Graphs!$B$19</c:f>
              <c:numCache>
                <c:formatCode>00.000</c:formatCode>
                <c:ptCount val="1"/>
                <c:pt idx="0">
                  <c:v>1.0649999999999999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F4-4998-BB81-3410879C863E}"/>
            </c:ext>
          </c:extLst>
        </c:ser>
        <c:ser>
          <c:idx val="3"/>
          <c:order val="3"/>
          <c:tx>
            <c:strRef>
              <c:f>Graphs!$A$20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Graphs!$C$20</c:f>
                <c:numCache>
                  <c:formatCode>General</c:formatCode>
                  <c:ptCount val="1"/>
                  <c:pt idx="0">
                    <c:v>0.153</c:v>
                  </c:pt>
                </c:numCache>
              </c:numRef>
            </c:plus>
            <c:minus>
              <c:numRef>
                <c:f>Graphs!$C$20</c:f>
                <c:numCache>
                  <c:formatCode>General</c:formatCode>
                  <c:ptCount val="1"/>
                  <c:pt idx="0">
                    <c:v>0.153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Graphs!$B$20</c:f>
              <c:numCache>
                <c:formatCode>00.000</c:formatCode>
                <c:ptCount val="1"/>
                <c:pt idx="0">
                  <c:v>1.2030000000000001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F4-4998-BB81-3410879C863E}"/>
            </c:ext>
          </c:extLst>
        </c:ser>
        <c:ser>
          <c:idx val="4"/>
          <c:order val="4"/>
          <c:tx>
            <c:strRef>
              <c:f>Graphs!$A$21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Manrope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67F4-4998-BB81-3410879C8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Graphs!$C$21</c:f>
                <c:numCache>
                  <c:formatCode>General</c:formatCode>
                  <c:ptCount val="1"/>
                  <c:pt idx="0">
                    <c:v>0.23250000000000001</c:v>
                  </c:pt>
                </c:numCache>
              </c:numRef>
            </c:plus>
            <c:minus>
              <c:numRef>
                <c:f>Graphs!$C$21</c:f>
                <c:numCache>
                  <c:formatCode>General</c:formatCode>
                  <c:ptCount val="1"/>
                  <c:pt idx="0">
                    <c:v>0.23250000000000001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Graphs!$B$21</c:f>
              <c:numCache>
                <c:formatCode>00.000</c:formatCode>
                <c:ptCount val="1"/>
                <c:pt idx="0">
                  <c:v>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7F4-4998-BB81-3410879C86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7020272"/>
        <c:axId val="307021712"/>
      </c:barChart>
      <c:catAx>
        <c:axId val="30702027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r>
                  <a:rPr lang="en-US"/>
                  <a:t>Files</a:t>
                </a:r>
              </a:p>
            </c:rich>
          </c:tx>
          <c:layout>
            <c:manualLayout>
              <c:xMode val="edge"/>
              <c:yMode val="edge"/>
              <c:x val="1.3888820538057742E-2"/>
              <c:y val="0.47443052387424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307021712"/>
        <c:crosses val="autoZero"/>
        <c:auto val="1"/>
        <c:lblAlgn val="ctr"/>
        <c:lblOffset val="100"/>
        <c:noMultiLvlLbl val="0"/>
      </c:catAx>
      <c:valAx>
        <c:axId val="307021712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[ss.mmm]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/>
                  <a:ea typeface="+mn-ea"/>
                  <a:cs typeface="+mn-cs"/>
                </a:defRPr>
              </a:pPr>
              <a:endParaRPr lang="en-US"/>
            </a:p>
          </c:txPr>
        </c:title>
        <c:numFmt formatCode="00.0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/>
                <a:ea typeface="+mn-ea"/>
                <a:cs typeface="+mn-cs"/>
              </a:defRPr>
            </a:pPr>
            <a:endParaRPr lang="en-US"/>
          </a:p>
        </c:txPr>
        <c:crossAx val="30702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7759801509186353"/>
          <c:y val="0.88207317045062539"/>
          <c:w val="0.13022063648293963"/>
          <c:h val="8.8654961504804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103821</xdr:colOff>
      <xdr:row>0</xdr:row>
      <xdr:rowOff>55267</xdr:rowOff>
    </xdr:from>
    <xdr:to>
      <xdr:col>16</xdr:col>
      <xdr:colOff>561975</xdr:colOff>
      <xdr:row>15</xdr:row>
      <xdr:rowOff>39019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D525CE-E330-6332-ED0E-5D20A45AA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0459" y="55267"/>
          <a:ext cx="5639754" cy="30555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642937</xdr:colOff>
      <xdr:row>0</xdr:row>
      <xdr:rowOff>0</xdr:rowOff>
    </xdr:from>
    <xdr:to>
      <xdr:col>13</xdr:col>
      <xdr:colOff>338137</xdr:colOff>
      <xdr:row>12</xdr:row>
      <xdr:rowOff>145732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9D1F6-6C02-4BE2-A3E7-D6622C249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14288</xdr:rowOff>
    </xdr:from>
    <xdr:to>
      <xdr:col>13</xdr:col>
      <xdr:colOff>342900</xdr:colOff>
      <xdr:row>27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5AEC26-98EF-49F7-9EAF-B03DD951C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0.55101</cdr:x>
      <cdr:y>0.87795</cdr:y>
    </cdr:from>
    <cdr:to>
      <cdr:x>0.67185</cdr:x>
      <cdr:y>0.9717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82A3BEC-7EA6-F721-2029-E018DC2AA715}"/>
            </a:ext>
          </a:extLst>
        </cdr:cNvPr>
        <cdr:cNvSpPr txBox="1"/>
      </cdr:nvSpPr>
      <cdr:spPr>
        <a:xfrm xmlns:a="http://schemas.openxmlformats.org/drawingml/2006/main">
          <a:off x="2687166" y="2285464"/>
          <a:ext cx="589312" cy="244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0.5404</cdr:x>
      <cdr:y>0.9232</cdr:y>
    </cdr:from>
    <cdr:to>
      <cdr:x>0.56877</cdr:x>
      <cdr:y>0.9232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0EFBA553-8DDF-0B39-CE5F-46EC677C88AF}"/>
            </a:ext>
          </a:extLst>
        </cdr:cNvPr>
        <cdr:cNvCxnSpPr/>
      </cdr:nvCxnSpPr>
      <cdr:spPr>
        <a:xfrm xmlns:a="http://schemas.openxmlformats.org/drawingml/2006/main">
          <a:off x="2635423" y="2403258"/>
          <a:ext cx="138355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0.52018</cdr:x>
      <cdr:y>0.87755</cdr:y>
    </cdr:from>
    <cdr:to>
      <cdr:x>0.64102</cdr:x>
      <cdr:y>0.9713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6966ABB-52C5-DA36-6E9E-3042A3E49A39}"/>
            </a:ext>
          </a:extLst>
        </cdr:cNvPr>
        <cdr:cNvSpPr txBox="1"/>
      </cdr:nvSpPr>
      <cdr:spPr>
        <a:xfrm xmlns:a="http://schemas.openxmlformats.org/drawingml/2006/main">
          <a:off x="2536825" y="2284413"/>
          <a:ext cx="589312" cy="244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0.50977</cdr:x>
      <cdr:y>0.9228</cdr:y>
    </cdr:from>
    <cdr:to>
      <cdr:x>0.53814</cdr:x>
      <cdr:y>0.9228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194C9DFF-872A-53E6-A493-24C1EA65913E}"/>
            </a:ext>
          </a:extLst>
        </cdr:cNvPr>
        <cdr:cNvCxnSpPr/>
      </cdr:nvCxnSpPr>
      <cdr:spPr>
        <a:xfrm xmlns:a="http://schemas.openxmlformats.org/drawingml/2006/main">
          <a:off x="2486025" y="2402207"/>
          <a:ext cx="138355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102C53"/>
      </a:dk2>
      <a:lt2>
        <a:srgbClr val="FFFFFF"/>
      </a:lt2>
      <a:accent1>
        <a:srgbClr val="102C53"/>
      </a:accent1>
      <a:accent2>
        <a:srgbClr val="596C87"/>
      </a:accent2>
      <a:accent3>
        <a:srgbClr val="8795A8"/>
      </a:accent3>
      <a:accent4>
        <a:srgbClr val="B7BFCA"/>
      </a:accent4>
      <a:accent5>
        <a:srgbClr val="D0D5DD"/>
      </a:accent5>
      <a:accent6>
        <a:srgbClr val="F3F3F6"/>
      </a:accent6>
      <a:hlink>
        <a:srgbClr val="0000FF"/>
      </a:hlink>
      <a:folHlink>
        <a:srgbClr val="28C8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2C88-6318-4ECA-80E7-86C17A2B079E}">
  <dimension ref="A1:AG504"/>
  <sheetViews>
    <sheetView zoomScaleNormal="100" workbookViewId="0">
      <selection activeCell="L20" sqref="L20"/>
    </sheetView>
  </sheetViews>
  <sheetFormatPr defaultRowHeight="14.25" x14ac:dyDescent="0.45"/>
  <cols>
    <col min="1" max="1" width="21.53125" bestFit="1" customWidth="1"/>
    <col min="2" max="2" width="12.33203125" bestFit="1" customWidth="1"/>
    <col min="3" max="3" width="10.9296875" bestFit="1" customWidth="1"/>
    <col min="7" max="7" width="22.33203125" bestFit="1" customWidth="1"/>
  </cols>
  <sheetData>
    <row r="1" spans="1:33" ht="16.149999999999999" x14ac:dyDescent="0.6">
      <c r="A1" s="3" t="s">
        <v>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149999999999999" x14ac:dyDescent="0.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6.149999999999999" x14ac:dyDescent="0.6">
      <c r="A3" s="1">
        <v>1</v>
      </c>
      <c r="B3" s="1">
        <v>1</v>
      </c>
      <c r="C3" s="2">
        <v>45642.490352245368</v>
      </c>
      <c r="D3" s="2">
        <v>45642.490365127313</v>
      </c>
      <c r="E3" s="2">
        <f>D3-C3</f>
        <v>1.2881944712717086E-5</v>
      </c>
      <c r="F3" s="1"/>
      <c r="G3" s="1" t="s">
        <v>11</v>
      </c>
      <c r="H3" s="2">
        <f>MEDIAN(E3,E5,E7)</f>
        <v>1.2881944712717086E-5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6.149999999999999" x14ac:dyDescent="0.6">
      <c r="A4" s="1">
        <v>1</v>
      </c>
      <c r="B4" s="1">
        <v>0</v>
      </c>
      <c r="C4" s="2">
        <v>45642.490424004631</v>
      </c>
      <c r="D4" s="2">
        <v>45642.490436319444</v>
      </c>
      <c r="E4" s="2">
        <f t="shared" ref="E4:E8" si="0">D4-C4</f>
        <v>1.2314812920521945E-5</v>
      </c>
      <c r="F4" s="1"/>
      <c r="G4" s="1" t="s">
        <v>12</v>
      </c>
      <c r="H4" s="2">
        <f>(_xlfn.QUARTILE.INC((E3,E5,E7),3)-_xlfn.QUARTILE.INC((E3,E5,E7),1))</f>
        <v>4.1782404878176749E-6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6.149999999999999" x14ac:dyDescent="0.6">
      <c r="A5" s="1">
        <v>2</v>
      </c>
      <c r="B5" s="1">
        <v>1</v>
      </c>
      <c r="C5" s="2">
        <v>45642.490512592594</v>
      </c>
      <c r="D5" s="2">
        <v>45642.49052619213</v>
      </c>
      <c r="E5" s="2">
        <f t="shared" si="0"/>
        <v>1.3599536032415926E-5</v>
      </c>
      <c r="F5" s="1"/>
      <c r="G5" s="1" t="s">
        <v>13</v>
      </c>
      <c r="H5" s="2">
        <f>MEDIAN(E4,E6,E8)</f>
        <v>1.2326388969086111E-5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6.149999999999999" x14ac:dyDescent="0.6">
      <c r="A6" s="1">
        <v>2</v>
      </c>
      <c r="B6" s="1">
        <v>0</v>
      </c>
      <c r="C6" s="2">
        <v>45642.490583125</v>
      </c>
      <c r="D6" s="2">
        <v>45642.490595451389</v>
      </c>
      <c r="E6" s="2">
        <f t="shared" si="0"/>
        <v>1.2326388969086111E-5</v>
      </c>
      <c r="F6" s="1"/>
      <c r="G6" s="1" t="s">
        <v>14</v>
      </c>
      <c r="H6" s="2">
        <f>(_xlfn.QUARTILE.INC((E4,E6,E8),3)-_xlfn.QUARTILE.INC((E4,E6,E8),1))</f>
        <v>4.5717752072960138E-7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6.149999999999999" x14ac:dyDescent="0.6">
      <c r="A7" s="1">
        <v>3</v>
      </c>
      <c r="B7" s="1">
        <v>1</v>
      </c>
      <c r="C7" s="2">
        <v>45642.49066408565</v>
      </c>
      <c r="D7" s="2">
        <v>45642.490669328705</v>
      </c>
      <c r="E7" s="2">
        <f t="shared" si="0"/>
        <v>5.2430550567805767E-6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6.149999999999999" x14ac:dyDescent="0.6">
      <c r="A8" s="1">
        <v>3</v>
      </c>
      <c r="B8" s="1">
        <v>0</v>
      </c>
      <c r="C8" s="2">
        <v>45642.4907346412</v>
      </c>
      <c r="D8" s="2">
        <v>45642.490747870368</v>
      </c>
      <c r="E8" s="2">
        <f t="shared" si="0"/>
        <v>1.3229167961981148E-5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6.149999999999999" x14ac:dyDescent="0.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6.149999999999999" x14ac:dyDescent="0.6">
      <c r="A10" s="3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6.149999999999999" x14ac:dyDescent="0.6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6.149999999999999" x14ac:dyDescent="0.6">
      <c r="A12" s="1">
        <v>1</v>
      </c>
      <c r="B12" s="1">
        <v>1</v>
      </c>
      <c r="C12" s="2">
        <v>3.5835648148148144E-2</v>
      </c>
      <c r="D12" s="2">
        <v>45642.494179791669</v>
      </c>
      <c r="E12" s="2">
        <f>D12-C12</f>
        <v>45642.458344143524</v>
      </c>
      <c r="F12" s="1"/>
      <c r="G12" s="1" t="s">
        <v>11</v>
      </c>
      <c r="H12" s="2">
        <f>MEDIAN(E12,E14,E16)</f>
        <v>45642.458349965273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6.149999999999999" x14ac:dyDescent="0.6">
      <c r="A13" s="1">
        <v>1</v>
      </c>
      <c r="B13" s="1">
        <v>0</v>
      </c>
      <c r="C13" s="2">
        <v>3.5925925925925924E-2</v>
      </c>
      <c r="D13" s="2">
        <v>45642.49427314815</v>
      </c>
      <c r="E13" s="2">
        <f t="shared" ref="E13:E17" si="1">D13-C13</f>
        <v>45642.458347222222</v>
      </c>
      <c r="F13" s="1"/>
      <c r="G13" s="1" t="s">
        <v>12</v>
      </c>
      <c r="H13" s="2">
        <f>(_xlfn.QUARTILE.INC((E12,E14,E16),3)-_xlfn.QUARTILE.INC((E12,E14,E16),1))</f>
        <v>9.4618008006364107E-6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3" ht="16.149999999999999" x14ac:dyDescent="0.6">
      <c r="A14" s="1">
        <v>2</v>
      </c>
      <c r="B14" s="1">
        <v>1</v>
      </c>
      <c r="C14" s="2">
        <v>3.5969907407407409E-2</v>
      </c>
      <c r="D14" s="2">
        <v>45642.494319872683</v>
      </c>
      <c r="E14" s="2">
        <f t="shared" si="1"/>
        <v>45642.458349965273</v>
      </c>
      <c r="F14" s="1"/>
      <c r="G14" s="1" t="s">
        <v>13</v>
      </c>
      <c r="H14" s="2">
        <f>MEDIAN(E13,E15,E17)</f>
        <v>45642.458345520834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3" ht="16.149999999999999" x14ac:dyDescent="0.6">
      <c r="A15" s="1">
        <v>2</v>
      </c>
      <c r="B15" s="1">
        <v>0</v>
      </c>
      <c r="C15" s="2">
        <v>3.6086805555555559E-2</v>
      </c>
      <c r="D15" s="2">
        <v>45642.494432326392</v>
      </c>
      <c r="E15" s="2">
        <f t="shared" si="1"/>
        <v>45642.458345520834</v>
      </c>
      <c r="F15" s="1"/>
      <c r="G15" s="1" t="s">
        <v>14</v>
      </c>
      <c r="H15" s="2">
        <f>(_xlfn.QUARTILE.INC((E13,E15,E17),3)-_xlfn.QUARTILE.INC((E13,E15,E17),1))</f>
        <v>8.854112820699811E-7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3" ht="16.149999999999999" x14ac:dyDescent="0.6">
      <c r="A16" s="1">
        <v>3</v>
      </c>
      <c r="B16" s="1">
        <v>1</v>
      </c>
      <c r="C16" s="2">
        <v>3.6124999999999997E-2</v>
      </c>
      <c r="D16" s="2">
        <v>45642.494488067132</v>
      </c>
      <c r="E16" s="2">
        <f t="shared" si="1"/>
        <v>45642.458363067133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3" ht="16.149999999999999" x14ac:dyDescent="0.6">
      <c r="A17" s="1">
        <v>3</v>
      </c>
      <c r="B17" s="1">
        <v>0</v>
      </c>
      <c r="C17" s="2">
        <v>3.6214120370370369E-2</v>
      </c>
      <c r="D17" s="2">
        <v>45642.494559571758</v>
      </c>
      <c r="E17" s="2">
        <f t="shared" si="1"/>
        <v>45642.458345451385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3" ht="16.149999999999999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6.149999999999999" x14ac:dyDescent="0.6">
      <c r="A19" s="3" t="s">
        <v>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6.149999999999999" x14ac:dyDescent="0.6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6.149999999999999" x14ac:dyDescent="0.6">
      <c r="A21" s="1">
        <v>1</v>
      </c>
      <c r="B21" s="1">
        <v>1</v>
      </c>
      <c r="C21" s="2">
        <v>4.1034722222222222E-2</v>
      </c>
      <c r="D21" s="2">
        <v>45642.499377326392</v>
      </c>
      <c r="E21" s="2">
        <f>D21-C21</f>
        <v>45642.458342604172</v>
      </c>
      <c r="F21" s="1"/>
      <c r="G21" s="1" t="s">
        <v>11</v>
      </c>
      <c r="H21" s="2">
        <f>MEDIAN(E21,E23,E25)</f>
        <v>45642.458354293987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6.149999999999999" x14ac:dyDescent="0.6">
      <c r="A22" s="1">
        <v>1</v>
      </c>
      <c r="B22" s="1">
        <v>0</v>
      </c>
      <c r="C22" s="2">
        <v>4.1099537037037039E-2</v>
      </c>
      <c r="D22" s="2">
        <v>45642.499446180555</v>
      </c>
      <c r="E22" s="2">
        <f t="shared" ref="E22:E26" si="2">D22-C22</f>
        <v>45642.458346643514</v>
      </c>
      <c r="F22" s="1"/>
      <c r="G22" s="1" t="s">
        <v>12</v>
      </c>
      <c r="H22" s="2">
        <f>(_xlfn.QUARTILE.INC((E21,E23,E25),3)-_xlfn.QUARTILE.INC((E21,E23,E25),1))</f>
        <v>1.4780089259147644E-5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6.149999999999999" x14ac:dyDescent="0.6">
      <c r="A23" s="1">
        <v>2</v>
      </c>
      <c r="B23" s="1">
        <v>1</v>
      </c>
      <c r="C23" s="2">
        <v>4.112615740740741E-2</v>
      </c>
      <c r="D23" s="2">
        <v>45642.499480451392</v>
      </c>
      <c r="E23" s="2">
        <f t="shared" si="2"/>
        <v>45642.458354293987</v>
      </c>
      <c r="F23" s="1"/>
      <c r="G23" s="1" t="s">
        <v>13</v>
      </c>
      <c r="H23" s="2">
        <f>MEDIAN(E22,E24,E26)</f>
        <v>45642.458354282411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6.149999999999999" x14ac:dyDescent="0.6">
      <c r="A24" s="1">
        <v>2</v>
      </c>
      <c r="B24" s="1">
        <v>0</v>
      </c>
      <c r="C24" s="2">
        <v>4.1200231481481477E-2</v>
      </c>
      <c r="D24" s="2">
        <v>45642.49955763889</v>
      </c>
      <c r="E24" s="2">
        <f t="shared" si="2"/>
        <v>45642.458357407406</v>
      </c>
      <c r="F24" s="1"/>
      <c r="G24" s="1" t="s">
        <v>14</v>
      </c>
      <c r="H24" s="2">
        <f>(_xlfn.QUARTILE.INC((E22,E24,E26),3)-_xlfn.QUARTILE.INC((E22,E24,E26),1))</f>
        <v>5.3819458116777241E-6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6.149999999999999" x14ac:dyDescent="0.6">
      <c r="A25" s="1">
        <v>3</v>
      </c>
      <c r="B25" s="1">
        <v>1</v>
      </c>
      <c r="C25" s="2">
        <v>4.1238425925925928E-2</v>
      </c>
      <c r="D25" s="2">
        <v>45642.499610590276</v>
      </c>
      <c r="E25" s="2">
        <f t="shared" si="2"/>
        <v>45642.45837216435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6.149999999999999" x14ac:dyDescent="0.6">
      <c r="A26" s="1">
        <v>3</v>
      </c>
      <c r="B26" s="1">
        <v>0</v>
      </c>
      <c r="C26" s="2">
        <v>4.131365740740741E-2</v>
      </c>
      <c r="D26" s="2">
        <v>45642.499667939817</v>
      </c>
      <c r="E26" s="2">
        <f t="shared" si="2"/>
        <v>45642.458354282411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3" ht="16.149999999999999" x14ac:dyDescent="0.6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3" ht="16.149999999999999" x14ac:dyDescent="0.6">
      <c r="A28" s="3" t="s">
        <v>9</v>
      </c>
      <c r="B28" s="1"/>
      <c r="F28" s="1"/>
      <c r="G28" s="1"/>
      <c r="H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3" ht="16.149999999999999" x14ac:dyDescent="0.6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/>
      <c r="H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3" ht="16.149999999999999" x14ac:dyDescent="0.6">
      <c r="A30" s="1">
        <v>1</v>
      </c>
      <c r="B30" s="1">
        <v>1</v>
      </c>
      <c r="C30" s="2">
        <v>1.5567129629629629E-3</v>
      </c>
      <c r="D30" s="2">
        <v>45642.501571226851</v>
      </c>
      <c r="E30" s="2">
        <f>D30-C30</f>
        <v>45642.500014513891</v>
      </c>
      <c r="F30" s="1"/>
      <c r="G30" s="1" t="s">
        <v>11</v>
      </c>
      <c r="H30" s="2">
        <f>MEDIAN(E30,E34,E38)</f>
        <v>45642.500012893513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3" ht="16.149999999999999" x14ac:dyDescent="0.6">
      <c r="A31" s="1">
        <v>1</v>
      </c>
      <c r="B31" s="1">
        <v>0</v>
      </c>
      <c r="C31" s="2">
        <v>1.6284722222222221E-3</v>
      </c>
      <c r="D31" s="1" t="s">
        <v>8</v>
      </c>
      <c r="E31" s="2"/>
      <c r="F31" s="1"/>
      <c r="G31" s="1" t="s">
        <v>12</v>
      </c>
      <c r="H31" s="2">
        <f>(_xlfn.QUARTILE.INC((E30,E34,E38),3)-_xlfn.QUARTILE.INC((E30,E34,E38),1))</f>
        <v>5.1620372687466443E-6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3" ht="16.149999999999999" x14ac:dyDescent="0.6">
      <c r="A32" s="1">
        <v>2</v>
      </c>
      <c r="B32" s="1">
        <v>1</v>
      </c>
      <c r="C32" s="2">
        <v>1.6296296296296297E-3</v>
      </c>
      <c r="D32" s="2" t="s">
        <v>8</v>
      </c>
      <c r="E32" s="2"/>
      <c r="F32" s="1"/>
      <c r="G32" s="1" t="s">
        <v>13</v>
      </c>
      <c r="H32" s="2">
        <f>MEDIAN(E33,E37,E41)</f>
        <v>45642.500013923614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3" ht="16.149999999999999" x14ac:dyDescent="0.6">
      <c r="A33" s="1">
        <v>2</v>
      </c>
      <c r="B33" s="1">
        <v>0</v>
      </c>
      <c r="C33" s="2">
        <v>1.7002314814814816E-3</v>
      </c>
      <c r="D33" s="2">
        <v>45642.501714155092</v>
      </c>
      <c r="E33" s="2">
        <f>D33-C33</f>
        <v>45642.500013923614</v>
      </c>
      <c r="F33" s="1"/>
      <c r="G33" s="1" t="s">
        <v>14</v>
      </c>
      <c r="H33" s="2">
        <f>(_xlfn.QUARTILE.INC((E33,E37,E41),3)-_xlfn.QUARTILE.INC((E33,E37,E41),1))</f>
        <v>3.5358825698494911E-6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3" ht="16.149999999999999" x14ac:dyDescent="0.6">
      <c r="A34" s="1">
        <v>3</v>
      </c>
      <c r="B34" s="1">
        <v>1</v>
      </c>
      <c r="C34" s="2">
        <v>1.8171296296296297E-3</v>
      </c>
      <c r="D34" s="2">
        <v>45642.501830023146</v>
      </c>
      <c r="E34" s="2">
        <f>D34-C34</f>
        <v>45642.500012893513</v>
      </c>
      <c r="F34" s="1"/>
      <c r="G34" s="1"/>
      <c r="H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3" ht="16.149999999999999" x14ac:dyDescent="0.6">
      <c r="A35" s="1">
        <v>3</v>
      </c>
      <c r="B35" s="1">
        <v>0</v>
      </c>
      <c r="C35" s="2">
        <v>1.8749999999999999E-3</v>
      </c>
      <c r="D35" s="2" t="s">
        <v>8</v>
      </c>
      <c r="E35" s="2"/>
      <c r="F35" s="1"/>
      <c r="G35" s="1"/>
      <c r="H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3" ht="16.149999999999999" x14ac:dyDescent="0.6">
      <c r="A36" s="1">
        <v>4</v>
      </c>
      <c r="B36" s="1">
        <v>1</v>
      </c>
      <c r="C36" s="2">
        <v>1.8761574074074073E-3</v>
      </c>
      <c r="D36" s="2" t="s">
        <v>8</v>
      </c>
      <c r="E36" s="2"/>
      <c r="F36" s="1"/>
      <c r="G36" s="1"/>
      <c r="H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3" ht="16.149999999999999" x14ac:dyDescent="0.6">
      <c r="A37" s="1">
        <v>4</v>
      </c>
      <c r="B37" s="1">
        <v>0</v>
      </c>
      <c r="C37" s="2">
        <v>1.9467592592592592E-3</v>
      </c>
      <c r="D37" s="2">
        <v>45642.501954398147</v>
      </c>
      <c r="E37" s="2">
        <f t="shared" ref="E37:E38" si="3">D37-C37</f>
        <v>45642.50000763889</v>
      </c>
      <c r="F37" s="1"/>
      <c r="G37" s="1"/>
      <c r="H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3" ht="16.149999999999999" x14ac:dyDescent="0.6">
      <c r="A38" s="1">
        <v>5</v>
      </c>
      <c r="B38" s="1">
        <v>1</v>
      </c>
      <c r="C38" s="2">
        <v>2.0532407407407409E-3</v>
      </c>
      <c r="D38" s="2">
        <v>45642.502057430553</v>
      </c>
      <c r="E38" s="2">
        <f t="shared" si="3"/>
        <v>45642.500004189809</v>
      </c>
      <c r="F38" s="1"/>
      <c r="G38" s="1"/>
      <c r="H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149999999999999" x14ac:dyDescent="0.6">
      <c r="A39" s="1">
        <v>5</v>
      </c>
      <c r="B39" s="1">
        <v>0</v>
      </c>
      <c r="C39" s="2">
        <v>2.1145833333333333E-3</v>
      </c>
      <c r="D39" s="2" t="s">
        <v>8</v>
      </c>
      <c r="E39" s="2"/>
      <c r="F39" s="1"/>
      <c r="G39" s="1"/>
      <c r="H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149999999999999" x14ac:dyDescent="0.6">
      <c r="A40" s="1">
        <v>6</v>
      </c>
      <c r="B40" s="1">
        <v>1</v>
      </c>
      <c r="C40" s="2">
        <v>2.1157407407407409E-3</v>
      </c>
      <c r="D40" s="2" t="s">
        <v>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149999999999999" x14ac:dyDescent="0.6">
      <c r="A41" s="1">
        <v>6</v>
      </c>
      <c r="B41" s="1">
        <v>0</v>
      </c>
      <c r="C41" s="2">
        <v>2.1863425925925926E-3</v>
      </c>
      <c r="D41" s="2">
        <v>45642.502201053241</v>
      </c>
      <c r="E41" s="2">
        <f>D41-C41</f>
        <v>45642.500014710648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149999999999999" x14ac:dyDescent="0.6"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149999999999999" x14ac:dyDescent="0.6">
      <c r="A43" s="3" t="s">
        <v>10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149999999999999" x14ac:dyDescent="0.6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149999999999999" x14ac:dyDescent="0.6">
      <c r="A45" s="1">
        <v>1</v>
      </c>
      <c r="B45" s="1">
        <v>1</v>
      </c>
      <c r="C45" s="2">
        <v>8.1064814814814819E-3</v>
      </c>
      <c r="D45" s="2">
        <v>0.50812104166666672</v>
      </c>
      <c r="E45" s="2">
        <f>D45-C45</f>
        <v>0.5000145601851852</v>
      </c>
      <c r="F45" s="1"/>
      <c r="G45" s="1" t="s">
        <v>11</v>
      </c>
      <c r="H45" s="2">
        <f>GEOMEAN(E47,E53)</f>
        <v>45642.500011614582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149999999999999" x14ac:dyDescent="0.6">
      <c r="A46" s="1">
        <v>1</v>
      </c>
      <c r="B46" s="1">
        <v>0</v>
      </c>
      <c r="C46" s="2">
        <v>8.1793981481481492E-3</v>
      </c>
      <c r="D46" s="2">
        <v>45642.508191203706</v>
      </c>
      <c r="E46" s="2">
        <f t="shared" ref="E46:E50" si="4">D46-C46</f>
        <v>45642.500011805554</v>
      </c>
      <c r="F46" s="1"/>
      <c r="G46" s="1" t="s">
        <v>12</v>
      </c>
      <c r="H46" s="4">
        <v>0.38550000000000001</v>
      </c>
      <c r="I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149999999999999" x14ac:dyDescent="0.6">
      <c r="A47" s="1">
        <v>2</v>
      </c>
      <c r="B47" s="1">
        <v>1</v>
      </c>
      <c r="C47" s="2">
        <v>8.2546296296296309E-3</v>
      </c>
      <c r="D47" s="2">
        <v>45642.508267870369</v>
      </c>
      <c r="E47" s="2">
        <f>D47-C47</f>
        <v>45642.500013240737</v>
      </c>
      <c r="F47" s="1"/>
      <c r="G47" s="1" t="s">
        <v>13</v>
      </c>
      <c r="H47" s="2">
        <f>MEDIAN(E46,E50,E52,E54)</f>
        <v>45642.500011915508</v>
      </c>
      <c r="I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149999999999999" x14ac:dyDescent="0.6">
      <c r="A48" s="1">
        <v>2</v>
      </c>
      <c r="B48" s="1">
        <v>0</v>
      </c>
      <c r="C48" s="2">
        <v>8.3136574074074068E-3</v>
      </c>
      <c r="D48" s="2" t="s">
        <v>8</v>
      </c>
      <c r="E48" s="2"/>
      <c r="F48" s="1"/>
      <c r="G48" s="1" t="s">
        <v>14</v>
      </c>
      <c r="H48" s="2">
        <f>(_xlfn.QUARTILE.INC((E46,E50,E52,E54),3)-_xlfn.QUARTILE.INC((E46,E50,E52,E54),1))</f>
        <v>1.7534694052301347E-6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149999999999999" x14ac:dyDescent="0.6">
      <c r="A49" s="1">
        <v>3</v>
      </c>
      <c r="B49" s="1">
        <v>1</v>
      </c>
      <c r="C49" s="2">
        <v>8.3171296296296292E-3</v>
      </c>
      <c r="D49" s="2" t="s">
        <v>8</v>
      </c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149999999999999" x14ac:dyDescent="0.6">
      <c r="A50" s="1">
        <v>3</v>
      </c>
      <c r="B50" s="1">
        <v>0</v>
      </c>
      <c r="C50" s="2">
        <v>8.3888888888888884E-3</v>
      </c>
      <c r="D50" s="2">
        <v>45642.508400914354</v>
      </c>
      <c r="E50" s="2">
        <f t="shared" si="4"/>
        <v>45642.500012025463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149999999999999" x14ac:dyDescent="0.6">
      <c r="A51" s="1">
        <v>4</v>
      </c>
      <c r="B51" s="1">
        <v>1</v>
      </c>
      <c r="C51" s="2">
        <v>8.4837962962962966E-3</v>
      </c>
      <c r="D51" s="2">
        <v>45642.508492685185</v>
      </c>
      <c r="E51" s="2">
        <f>D51-C51</f>
        <v>45642.500008888892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149999999999999" x14ac:dyDescent="0.6">
      <c r="A52" s="1">
        <v>4</v>
      </c>
      <c r="B52" s="1">
        <v>0</v>
      </c>
      <c r="C52" s="2">
        <v>8.5613425925925926E-3</v>
      </c>
      <c r="D52" s="2">
        <v>45642.508573587962</v>
      </c>
      <c r="E52" s="2">
        <f t="shared" ref="E52:E54" si="5">D52-C52</f>
        <v>45642.500012245371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149999999999999" x14ac:dyDescent="0.6">
      <c r="A53" s="1">
        <v>5</v>
      </c>
      <c r="B53" s="1">
        <v>1</v>
      </c>
      <c r="C53" s="2">
        <v>8.7962962962962968E-3</v>
      </c>
      <c r="D53" s="2">
        <v>45642.508806284721</v>
      </c>
      <c r="E53" s="2">
        <f t="shared" si="5"/>
        <v>45642.500009988427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149999999999999" x14ac:dyDescent="0.6">
      <c r="A54" s="1">
        <v>5</v>
      </c>
      <c r="B54" s="1">
        <v>0</v>
      </c>
      <c r="C54" s="2">
        <v>8.8738425925925929E-3</v>
      </c>
      <c r="D54" s="2">
        <v>45642.508879733796</v>
      </c>
      <c r="E54" s="2">
        <f t="shared" si="5"/>
        <v>45642.500005891205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149999999999999" x14ac:dyDescent="0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149999999999999" x14ac:dyDescent="0.6">
      <c r="A56" s="1" t="s">
        <v>15</v>
      </c>
      <c r="B56" s="1">
        <f>3+3+3+6+5</f>
        <v>20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149999999999999" x14ac:dyDescent="0.6">
      <c r="A57" s="1" t="s">
        <v>16</v>
      </c>
      <c r="B57" s="1">
        <f>3+3+3+6+5</f>
        <v>20</v>
      </c>
      <c r="C57" s="1"/>
      <c r="D57" s="1"/>
      <c r="E57" s="1"/>
      <c r="F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149999999999999" x14ac:dyDescent="0.6">
      <c r="A58" s="1" t="s">
        <v>17</v>
      </c>
      <c r="B58" s="1">
        <v>16</v>
      </c>
      <c r="C58" s="1"/>
      <c r="D58" s="1"/>
      <c r="E58" s="1"/>
      <c r="F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149999999999999" x14ac:dyDescent="0.6">
      <c r="A59" s="1" t="s">
        <v>18</v>
      </c>
      <c r="B59" s="1">
        <v>16</v>
      </c>
      <c r="C59" s="1"/>
      <c r="D59" s="1"/>
      <c r="E59" s="1"/>
      <c r="F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149999999999999" x14ac:dyDescent="0.6">
      <c r="A60" s="7" t="s">
        <v>19</v>
      </c>
      <c r="B60" s="8">
        <f>B58/B56%</f>
        <v>80</v>
      </c>
      <c r="C60" s="1"/>
      <c r="D60" s="1"/>
      <c r="E60" s="1"/>
      <c r="F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149999999999999" x14ac:dyDescent="0.6">
      <c r="A61" s="7" t="s">
        <v>20</v>
      </c>
      <c r="B61" s="8">
        <f>B59/B57%</f>
        <v>80</v>
      </c>
      <c r="C61" s="1"/>
      <c r="D61" s="1"/>
      <c r="E61" s="1"/>
      <c r="F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149999999999999" x14ac:dyDescent="0.6">
      <c r="A62" s="1"/>
      <c r="B62" s="1"/>
      <c r="C62" s="1"/>
      <c r="D62" s="1"/>
      <c r="E62" s="1"/>
      <c r="F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149999999999999" x14ac:dyDescent="0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149999999999999" x14ac:dyDescent="0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6.149999999999999" x14ac:dyDescent="0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6.149999999999999" x14ac:dyDescent="0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6.149999999999999" x14ac:dyDescent="0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6.149999999999999" x14ac:dyDescent="0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6.149999999999999" x14ac:dyDescent="0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6.149999999999999" x14ac:dyDescent="0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6.149999999999999" x14ac:dyDescent="0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6.149999999999999" x14ac:dyDescent="0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6.149999999999999" x14ac:dyDescent="0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6.149999999999999" x14ac:dyDescent="0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6.149999999999999" x14ac:dyDescent="0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6.149999999999999" x14ac:dyDescent="0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6.149999999999999" x14ac:dyDescent="0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6.149999999999999" x14ac:dyDescent="0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6.149999999999999" x14ac:dyDescent="0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6.149999999999999" x14ac:dyDescent="0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6.149999999999999" x14ac:dyDescent="0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6.149999999999999" x14ac:dyDescent="0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6.149999999999999" x14ac:dyDescent="0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6.149999999999999" x14ac:dyDescent="0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6.149999999999999" x14ac:dyDescent="0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6.149999999999999" x14ac:dyDescent="0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6.149999999999999" x14ac:dyDescent="0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6.149999999999999" x14ac:dyDescent="0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6.149999999999999" x14ac:dyDescent="0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6.149999999999999" x14ac:dyDescent="0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6.149999999999999" x14ac:dyDescent="0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6.149999999999999" x14ac:dyDescent="0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6.149999999999999" x14ac:dyDescent="0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6.149999999999999" x14ac:dyDescent="0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6.149999999999999" x14ac:dyDescent="0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6.149999999999999" x14ac:dyDescent="0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6.149999999999999" x14ac:dyDescent="0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6.149999999999999" x14ac:dyDescent="0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6.149999999999999" x14ac:dyDescent="0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6.149999999999999" x14ac:dyDescent="0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6.149999999999999" x14ac:dyDescent="0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6.149999999999999" x14ac:dyDescent="0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6.149999999999999" x14ac:dyDescent="0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6.149999999999999" x14ac:dyDescent="0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6.149999999999999" x14ac:dyDescent="0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6.149999999999999" x14ac:dyDescent="0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6.149999999999999" x14ac:dyDescent="0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6.149999999999999" x14ac:dyDescent="0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6.149999999999999" x14ac:dyDescent="0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6.149999999999999" x14ac:dyDescent="0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6.149999999999999" x14ac:dyDescent="0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6.149999999999999" x14ac:dyDescent="0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6.149999999999999" x14ac:dyDescent="0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6.149999999999999" x14ac:dyDescent="0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6.149999999999999" x14ac:dyDescent="0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6.149999999999999" x14ac:dyDescent="0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6.149999999999999" x14ac:dyDescent="0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6.149999999999999" x14ac:dyDescent="0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6.149999999999999" x14ac:dyDescent="0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6.149999999999999" x14ac:dyDescent="0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6.149999999999999" x14ac:dyDescent="0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6.149999999999999" x14ac:dyDescent="0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6.149999999999999" x14ac:dyDescent="0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6.149999999999999" x14ac:dyDescent="0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6.149999999999999" x14ac:dyDescent="0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6.149999999999999" x14ac:dyDescent="0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6.149999999999999" x14ac:dyDescent="0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6.149999999999999" x14ac:dyDescent="0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6.149999999999999" x14ac:dyDescent="0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6.149999999999999" x14ac:dyDescent="0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6.149999999999999" x14ac:dyDescent="0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6.149999999999999" x14ac:dyDescent="0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6.149999999999999" x14ac:dyDescent="0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6.149999999999999" x14ac:dyDescent="0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6.149999999999999" x14ac:dyDescent="0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6.149999999999999" x14ac:dyDescent="0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6.149999999999999" x14ac:dyDescent="0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6.149999999999999" x14ac:dyDescent="0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6.149999999999999" x14ac:dyDescent="0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6.149999999999999" x14ac:dyDescent="0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6.149999999999999" x14ac:dyDescent="0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6.149999999999999" x14ac:dyDescent="0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6.149999999999999" x14ac:dyDescent="0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6.149999999999999" x14ac:dyDescent="0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6.149999999999999" x14ac:dyDescent="0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6.149999999999999" x14ac:dyDescent="0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6.149999999999999" x14ac:dyDescent="0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6.149999999999999" x14ac:dyDescent="0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6.149999999999999" x14ac:dyDescent="0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6.149999999999999" x14ac:dyDescent="0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6.149999999999999" x14ac:dyDescent="0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6.149999999999999" x14ac:dyDescent="0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6.149999999999999" x14ac:dyDescent="0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6.149999999999999" x14ac:dyDescent="0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6.149999999999999" x14ac:dyDescent="0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6.149999999999999" x14ac:dyDescent="0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6.149999999999999" x14ac:dyDescent="0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6.149999999999999" x14ac:dyDescent="0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6.149999999999999" x14ac:dyDescent="0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6.149999999999999" x14ac:dyDescent="0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6.149999999999999" x14ac:dyDescent="0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6.149999999999999" x14ac:dyDescent="0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6.149999999999999" x14ac:dyDescent="0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6.149999999999999" x14ac:dyDescent="0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6.149999999999999" x14ac:dyDescent="0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6.149999999999999" x14ac:dyDescent="0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6.149999999999999" x14ac:dyDescent="0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6.149999999999999" x14ac:dyDescent="0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6.149999999999999" x14ac:dyDescent="0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6.149999999999999" x14ac:dyDescent="0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6.149999999999999" x14ac:dyDescent="0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6.149999999999999" x14ac:dyDescent="0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6.149999999999999" x14ac:dyDescent="0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6.149999999999999" x14ac:dyDescent="0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6.149999999999999" x14ac:dyDescent="0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6.149999999999999" x14ac:dyDescent="0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6.149999999999999" x14ac:dyDescent="0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6.149999999999999" x14ac:dyDescent="0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6.149999999999999" x14ac:dyDescent="0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6.149999999999999" x14ac:dyDescent="0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6.149999999999999" x14ac:dyDescent="0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6.149999999999999" x14ac:dyDescent="0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6.149999999999999" x14ac:dyDescent="0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6.149999999999999" x14ac:dyDescent="0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6.149999999999999" x14ac:dyDescent="0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6.149999999999999" x14ac:dyDescent="0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6.149999999999999" x14ac:dyDescent="0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6.149999999999999" x14ac:dyDescent="0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6.149999999999999" x14ac:dyDescent="0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6.149999999999999" x14ac:dyDescent="0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6.149999999999999" x14ac:dyDescent="0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6.149999999999999" x14ac:dyDescent="0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6.149999999999999" x14ac:dyDescent="0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6.149999999999999" x14ac:dyDescent="0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6.149999999999999" x14ac:dyDescent="0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6.149999999999999" x14ac:dyDescent="0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6.149999999999999" x14ac:dyDescent="0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6.149999999999999" x14ac:dyDescent="0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6.149999999999999" x14ac:dyDescent="0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6.149999999999999" x14ac:dyDescent="0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6.149999999999999" x14ac:dyDescent="0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6.149999999999999" x14ac:dyDescent="0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6.149999999999999" x14ac:dyDescent="0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6.149999999999999" x14ac:dyDescent="0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6.149999999999999" x14ac:dyDescent="0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6.149999999999999" x14ac:dyDescent="0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6.149999999999999" x14ac:dyDescent="0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6.149999999999999" x14ac:dyDescent="0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6.149999999999999" x14ac:dyDescent="0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6.149999999999999" x14ac:dyDescent="0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6.149999999999999" x14ac:dyDescent="0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6.149999999999999" x14ac:dyDescent="0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6.149999999999999" x14ac:dyDescent="0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6.149999999999999" x14ac:dyDescent="0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6.149999999999999" x14ac:dyDescent="0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6.149999999999999" x14ac:dyDescent="0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6.149999999999999" x14ac:dyDescent="0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6.149999999999999" x14ac:dyDescent="0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6.149999999999999" x14ac:dyDescent="0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6.149999999999999" x14ac:dyDescent="0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6.149999999999999" x14ac:dyDescent="0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6.149999999999999" x14ac:dyDescent="0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6.149999999999999" x14ac:dyDescent="0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6.149999999999999" x14ac:dyDescent="0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6.149999999999999" x14ac:dyDescent="0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6.149999999999999" x14ac:dyDescent="0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6.149999999999999" x14ac:dyDescent="0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6.149999999999999" x14ac:dyDescent="0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6.149999999999999" x14ac:dyDescent="0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6.149999999999999" x14ac:dyDescent="0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6.149999999999999" x14ac:dyDescent="0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6.149999999999999" x14ac:dyDescent="0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6.149999999999999" x14ac:dyDescent="0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6.149999999999999" x14ac:dyDescent="0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6.149999999999999" x14ac:dyDescent="0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6.149999999999999" x14ac:dyDescent="0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6.149999999999999" x14ac:dyDescent="0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6.149999999999999" x14ac:dyDescent="0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6.149999999999999" x14ac:dyDescent="0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6.149999999999999" x14ac:dyDescent="0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6.149999999999999" x14ac:dyDescent="0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6.149999999999999" x14ac:dyDescent="0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6.149999999999999" x14ac:dyDescent="0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6.149999999999999" x14ac:dyDescent="0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6.149999999999999" x14ac:dyDescent="0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6.149999999999999" x14ac:dyDescent="0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6.149999999999999" x14ac:dyDescent="0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6.149999999999999" x14ac:dyDescent="0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6.149999999999999" x14ac:dyDescent="0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6.149999999999999" x14ac:dyDescent="0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6.149999999999999" x14ac:dyDescent="0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6.149999999999999" x14ac:dyDescent="0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6.149999999999999" x14ac:dyDescent="0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6.149999999999999" x14ac:dyDescent="0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6.149999999999999" x14ac:dyDescent="0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6.149999999999999" x14ac:dyDescent="0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6.149999999999999" x14ac:dyDescent="0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6.149999999999999" x14ac:dyDescent="0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6.149999999999999" x14ac:dyDescent="0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6.149999999999999" x14ac:dyDescent="0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6.149999999999999" x14ac:dyDescent="0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6.149999999999999" x14ac:dyDescent="0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6.149999999999999" x14ac:dyDescent="0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6.149999999999999" x14ac:dyDescent="0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6.149999999999999" x14ac:dyDescent="0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6.149999999999999" x14ac:dyDescent="0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6.149999999999999" x14ac:dyDescent="0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6.149999999999999" x14ac:dyDescent="0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6.149999999999999" x14ac:dyDescent="0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6.149999999999999" x14ac:dyDescent="0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6.149999999999999" x14ac:dyDescent="0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6.149999999999999" x14ac:dyDescent="0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6.149999999999999" x14ac:dyDescent="0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6.149999999999999" x14ac:dyDescent="0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6.149999999999999" x14ac:dyDescent="0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6.149999999999999" x14ac:dyDescent="0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6.149999999999999" x14ac:dyDescent="0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6.149999999999999" x14ac:dyDescent="0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6.149999999999999" x14ac:dyDescent="0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6.149999999999999" x14ac:dyDescent="0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6.149999999999999" x14ac:dyDescent="0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6.149999999999999" x14ac:dyDescent="0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6.149999999999999" x14ac:dyDescent="0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6.149999999999999" x14ac:dyDescent="0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6.149999999999999" x14ac:dyDescent="0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6.149999999999999" x14ac:dyDescent="0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6.149999999999999" x14ac:dyDescent="0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6.149999999999999" x14ac:dyDescent="0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6.149999999999999" x14ac:dyDescent="0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6.149999999999999" x14ac:dyDescent="0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6.149999999999999" x14ac:dyDescent="0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6.149999999999999" x14ac:dyDescent="0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6.149999999999999" x14ac:dyDescent="0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6.149999999999999" x14ac:dyDescent="0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6.149999999999999" x14ac:dyDescent="0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6.149999999999999" x14ac:dyDescent="0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6.149999999999999" x14ac:dyDescent="0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6.149999999999999" x14ac:dyDescent="0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6.149999999999999" x14ac:dyDescent="0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6.149999999999999" x14ac:dyDescent="0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6.149999999999999" x14ac:dyDescent="0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6.149999999999999" x14ac:dyDescent="0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6.149999999999999" x14ac:dyDescent="0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6.149999999999999" x14ac:dyDescent="0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6.149999999999999" x14ac:dyDescent="0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6.149999999999999" x14ac:dyDescent="0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6.149999999999999" x14ac:dyDescent="0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6.149999999999999" x14ac:dyDescent="0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6.149999999999999" x14ac:dyDescent="0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6.149999999999999" x14ac:dyDescent="0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6.149999999999999" x14ac:dyDescent="0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6.149999999999999" x14ac:dyDescent="0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6.149999999999999" x14ac:dyDescent="0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6.149999999999999" x14ac:dyDescent="0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6.149999999999999" x14ac:dyDescent="0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6.149999999999999" x14ac:dyDescent="0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6.149999999999999" x14ac:dyDescent="0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6.149999999999999" x14ac:dyDescent="0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6.149999999999999" x14ac:dyDescent="0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6.149999999999999" x14ac:dyDescent="0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6.149999999999999" x14ac:dyDescent="0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6.149999999999999" x14ac:dyDescent="0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6.149999999999999" x14ac:dyDescent="0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6.149999999999999" x14ac:dyDescent="0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6.149999999999999" x14ac:dyDescent="0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6.149999999999999" x14ac:dyDescent="0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6.149999999999999" x14ac:dyDescent="0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6.149999999999999" x14ac:dyDescent="0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6.149999999999999" x14ac:dyDescent="0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6.149999999999999" x14ac:dyDescent="0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6.149999999999999" x14ac:dyDescent="0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6.149999999999999" x14ac:dyDescent="0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6.149999999999999" x14ac:dyDescent="0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6.149999999999999" x14ac:dyDescent="0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6.149999999999999" x14ac:dyDescent="0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6.149999999999999" x14ac:dyDescent="0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6.149999999999999" x14ac:dyDescent="0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6.149999999999999" x14ac:dyDescent="0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6.149999999999999" x14ac:dyDescent="0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6.149999999999999" x14ac:dyDescent="0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6.149999999999999" x14ac:dyDescent="0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6.149999999999999" x14ac:dyDescent="0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6.149999999999999" x14ac:dyDescent="0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6.149999999999999" x14ac:dyDescent="0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6.149999999999999" x14ac:dyDescent="0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6.149999999999999" x14ac:dyDescent="0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6.149999999999999" x14ac:dyDescent="0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6.149999999999999" x14ac:dyDescent="0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6.149999999999999" x14ac:dyDescent="0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6.149999999999999" x14ac:dyDescent="0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6.149999999999999" x14ac:dyDescent="0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6.149999999999999" x14ac:dyDescent="0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6.149999999999999" x14ac:dyDescent="0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6.149999999999999" x14ac:dyDescent="0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6.149999999999999" x14ac:dyDescent="0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6.149999999999999" x14ac:dyDescent="0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6.149999999999999" x14ac:dyDescent="0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6.149999999999999" x14ac:dyDescent="0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6.149999999999999" x14ac:dyDescent="0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6.149999999999999" x14ac:dyDescent="0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6.149999999999999" x14ac:dyDescent="0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6.149999999999999" x14ac:dyDescent="0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6.149999999999999" x14ac:dyDescent="0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6.149999999999999" x14ac:dyDescent="0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6.149999999999999" x14ac:dyDescent="0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6.149999999999999" x14ac:dyDescent="0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6.149999999999999" x14ac:dyDescent="0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6.149999999999999" x14ac:dyDescent="0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6.149999999999999" x14ac:dyDescent="0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6.149999999999999" x14ac:dyDescent="0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6.149999999999999" x14ac:dyDescent="0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6.149999999999999" x14ac:dyDescent="0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6.149999999999999" x14ac:dyDescent="0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6.149999999999999" x14ac:dyDescent="0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6.149999999999999" x14ac:dyDescent="0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6.149999999999999" x14ac:dyDescent="0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6.149999999999999" x14ac:dyDescent="0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6.149999999999999" x14ac:dyDescent="0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6.149999999999999" x14ac:dyDescent="0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6.149999999999999" x14ac:dyDescent="0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6.149999999999999" x14ac:dyDescent="0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6.149999999999999" x14ac:dyDescent="0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6.149999999999999" x14ac:dyDescent="0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6.149999999999999" x14ac:dyDescent="0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6.149999999999999" x14ac:dyDescent="0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6.149999999999999" x14ac:dyDescent="0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6.149999999999999" x14ac:dyDescent="0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6.149999999999999" x14ac:dyDescent="0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6.149999999999999" x14ac:dyDescent="0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6.149999999999999" x14ac:dyDescent="0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6.149999999999999" x14ac:dyDescent="0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6.149999999999999" x14ac:dyDescent="0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6.149999999999999" x14ac:dyDescent="0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6.149999999999999" x14ac:dyDescent="0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6.149999999999999" x14ac:dyDescent="0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6.149999999999999" x14ac:dyDescent="0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6.149999999999999" x14ac:dyDescent="0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6.149999999999999" x14ac:dyDescent="0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6.149999999999999" x14ac:dyDescent="0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6.149999999999999" x14ac:dyDescent="0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6.149999999999999" x14ac:dyDescent="0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6.149999999999999" x14ac:dyDescent="0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6.149999999999999" x14ac:dyDescent="0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6.149999999999999" x14ac:dyDescent="0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6.149999999999999" x14ac:dyDescent="0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6.149999999999999" x14ac:dyDescent="0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6.149999999999999" x14ac:dyDescent="0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6.149999999999999" x14ac:dyDescent="0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6.149999999999999" x14ac:dyDescent="0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6.149999999999999" x14ac:dyDescent="0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6.149999999999999" x14ac:dyDescent="0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6.149999999999999" x14ac:dyDescent="0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6.149999999999999" x14ac:dyDescent="0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6.149999999999999" x14ac:dyDescent="0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6.149999999999999" x14ac:dyDescent="0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6.149999999999999" x14ac:dyDescent="0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6.149999999999999" x14ac:dyDescent="0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6.149999999999999" x14ac:dyDescent="0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6.149999999999999" x14ac:dyDescent="0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6.149999999999999" x14ac:dyDescent="0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6.149999999999999" x14ac:dyDescent="0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6.149999999999999" x14ac:dyDescent="0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6.149999999999999" x14ac:dyDescent="0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6.149999999999999" x14ac:dyDescent="0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6.149999999999999" x14ac:dyDescent="0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6.149999999999999" x14ac:dyDescent="0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6.149999999999999" x14ac:dyDescent="0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6.149999999999999" x14ac:dyDescent="0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6.149999999999999" x14ac:dyDescent="0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6.149999999999999" x14ac:dyDescent="0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6.149999999999999" x14ac:dyDescent="0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6.149999999999999" x14ac:dyDescent="0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6.149999999999999" x14ac:dyDescent="0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6.149999999999999" x14ac:dyDescent="0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6.149999999999999" x14ac:dyDescent="0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6.149999999999999" x14ac:dyDescent="0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6.149999999999999" x14ac:dyDescent="0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6.149999999999999" x14ac:dyDescent="0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6.149999999999999" x14ac:dyDescent="0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6.149999999999999" x14ac:dyDescent="0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6.149999999999999" x14ac:dyDescent="0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6.149999999999999" x14ac:dyDescent="0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6.149999999999999" x14ac:dyDescent="0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6.149999999999999" x14ac:dyDescent="0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6.149999999999999" x14ac:dyDescent="0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6.149999999999999" x14ac:dyDescent="0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6.149999999999999" x14ac:dyDescent="0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6.149999999999999" x14ac:dyDescent="0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6.149999999999999" x14ac:dyDescent="0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6.149999999999999" x14ac:dyDescent="0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6.149999999999999" x14ac:dyDescent="0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6.149999999999999" x14ac:dyDescent="0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6.149999999999999" x14ac:dyDescent="0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6.149999999999999" x14ac:dyDescent="0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6.149999999999999" x14ac:dyDescent="0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6.149999999999999" x14ac:dyDescent="0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6.149999999999999" x14ac:dyDescent="0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6.149999999999999" x14ac:dyDescent="0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6.149999999999999" x14ac:dyDescent="0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6.149999999999999" x14ac:dyDescent="0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6.149999999999999" x14ac:dyDescent="0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6.149999999999999" x14ac:dyDescent="0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6.149999999999999" x14ac:dyDescent="0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6.149999999999999" x14ac:dyDescent="0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6.149999999999999" x14ac:dyDescent="0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6.149999999999999" x14ac:dyDescent="0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6.149999999999999" x14ac:dyDescent="0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6.149999999999999" x14ac:dyDescent="0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6.149999999999999" x14ac:dyDescent="0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6.149999999999999" x14ac:dyDescent="0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6.149999999999999" x14ac:dyDescent="0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6.149999999999999" x14ac:dyDescent="0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6.149999999999999" x14ac:dyDescent="0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6.149999999999999" x14ac:dyDescent="0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6.149999999999999" x14ac:dyDescent="0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6.149999999999999" x14ac:dyDescent="0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6.149999999999999" x14ac:dyDescent="0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6.149999999999999" x14ac:dyDescent="0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6.149999999999999" x14ac:dyDescent="0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6.149999999999999" x14ac:dyDescent="0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6.149999999999999" x14ac:dyDescent="0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6.149999999999999" x14ac:dyDescent="0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6.149999999999999" x14ac:dyDescent="0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6.149999999999999" x14ac:dyDescent="0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6.149999999999999" x14ac:dyDescent="0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6.149999999999999" x14ac:dyDescent="0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6.149999999999999" x14ac:dyDescent="0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6.149999999999999" x14ac:dyDescent="0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6.149999999999999" x14ac:dyDescent="0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6.149999999999999" x14ac:dyDescent="0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6.149999999999999" x14ac:dyDescent="0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6.149999999999999" x14ac:dyDescent="0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6.149999999999999" x14ac:dyDescent="0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6.149999999999999" x14ac:dyDescent="0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6.149999999999999" x14ac:dyDescent="0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6.149999999999999" x14ac:dyDescent="0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6.149999999999999" x14ac:dyDescent="0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6.149999999999999" x14ac:dyDescent="0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6.149999999999999" x14ac:dyDescent="0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6.149999999999999" x14ac:dyDescent="0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6.149999999999999" x14ac:dyDescent="0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6.149999999999999" x14ac:dyDescent="0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6.149999999999999" x14ac:dyDescent="0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6.149999999999999" x14ac:dyDescent="0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</sheetData>
  <phoneticPr fontId="2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47B6-DB2A-4C1B-B51A-1B3C4F08ACC7}">
  <dimension ref="A1:N60"/>
  <sheetViews>
    <sheetView tabSelected="1" zoomScaleNormal="100" workbookViewId="0">
      <selection activeCell="O15" sqref="O15"/>
    </sheetView>
  </sheetViews>
  <sheetFormatPr defaultRowHeight="14.25" x14ac:dyDescent="0.45"/>
  <sheetData>
    <row r="1" spans="1:14" ht="16.149999999999999" x14ac:dyDescent="0.6">
      <c r="A1" s="3" t="s">
        <v>21</v>
      </c>
      <c r="B1" s="1"/>
      <c r="C1" s="3" t="s">
        <v>23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149999999999999" x14ac:dyDescent="0.6">
      <c r="A2" s="5">
        <v>5</v>
      </c>
      <c r="B2" s="4">
        <v>1.0029999999999999</v>
      </c>
      <c r="C2" s="4">
        <f>0.386/2</f>
        <v>0.193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149999999999999" x14ac:dyDescent="0.6">
      <c r="A3" s="5">
        <v>1</v>
      </c>
      <c r="B3" s="4">
        <v>1.113</v>
      </c>
      <c r="C3" s="4">
        <f>0.361/2</f>
        <v>0.18049999999999999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149999999999999" x14ac:dyDescent="0.6">
      <c r="A4" s="9" t="s">
        <v>22</v>
      </c>
      <c r="B4" s="6">
        <v>1.1140000000000001</v>
      </c>
      <c r="C4" s="6">
        <f>0.446/2</f>
        <v>0.223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6.149999999999999" x14ac:dyDescent="0.6">
      <c r="A5" s="5">
        <v>2</v>
      </c>
      <c r="B5" s="4">
        <v>1.4370000000000001</v>
      </c>
      <c r="C5" s="4">
        <f>0.817/2</f>
        <v>0.40849999999999997</v>
      </c>
      <c r="D5" s="1"/>
      <c r="E5" s="1"/>
      <c r="G5" s="1"/>
      <c r="H5" s="1"/>
      <c r="I5" s="1"/>
      <c r="J5" s="1"/>
      <c r="K5" s="1"/>
      <c r="L5" s="1"/>
      <c r="M5" s="1"/>
      <c r="N5" s="1"/>
    </row>
    <row r="6" spans="1:14" ht="16.149999999999999" x14ac:dyDescent="0.6">
      <c r="A6" s="5">
        <v>3</v>
      </c>
      <c r="B6" s="4">
        <v>1.8109999999999999</v>
      </c>
      <c r="C6" s="4">
        <f>1.277/2</f>
        <v>0.63849999999999996</v>
      </c>
      <c r="D6" s="1"/>
      <c r="E6" s="1"/>
      <c r="G6" s="1"/>
      <c r="H6" s="1"/>
      <c r="I6" s="1"/>
      <c r="J6" s="1"/>
      <c r="K6" s="1"/>
      <c r="L6" s="1"/>
      <c r="M6" s="1"/>
    </row>
    <row r="7" spans="1:14" ht="16.149999999999999" x14ac:dyDescent="0.6">
      <c r="A7" s="1"/>
      <c r="B7" s="1"/>
      <c r="C7" s="1"/>
      <c r="D7" s="1"/>
      <c r="E7" s="1"/>
      <c r="G7" s="1"/>
      <c r="H7" s="1"/>
      <c r="I7" s="1"/>
      <c r="J7" s="1"/>
      <c r="K7" s="1"/>
      <c r="L7" s="1"/>
      <c r="M7" s="1"/>
    </row>
    <row r="8" spans="1:14" ht="16.149999999999999" x14ac:dyDescent="0.6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</row>
    <row r="9" spans="1:14" ht="16.149999999999999" x14ac:dyDescent="0.6">
      <c r="A9" s="1"/>
      <c r="B9" s="1"/>
      <c r="C9" s="1"/>
      <c r="D9" s="1"/>
      <c r="E9" s="1"/>
      <c r="G9" s="1"/>
      <c r="H9" s="1"/>
      <c r="I9" s="1"/>
      <c r="J9" s="1"/>
      <c r="K9" s="1"/>
      <c r="L9" s="1"/>
      <c r="M9" s="1"/>
    </row>
    <row r="10" spans="1:14" ht="16.149999999999999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 ht="16.149999999999999" x14ac:dyDescent="0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6.149999999999999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6.149999999999999" x14ac:dyDescent="0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6.149999999999999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6.149999999999999" x14ac:dyDescent="0.6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6.149999999999999" x14ac:dyDescent="0.6">
      <c r="A16" s="3" t="s">
        <v>24</v>
      </c>
      <c r="B16" s="1"/>
      <c r="C16" s="3" t="s">
        <v>23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6.149999999999999" x14ac:dyDescent="0.6">
      <c r="A17" s="5">
        <v>5</v>
      </c>
      <c r="B17" s="4">
        <v>1.0289999999999999</v>
      </c>
      <c r="C17" s="4">
        <f>0.151/2</f>
        <v>7.5499999999999998E-2</v>
      </c>
      <c r="D17" s="1"/>
      <c r="E17" s="1"/>
      <c r="G17" s="1"/>
      <c r="H17" s="1"/>
      <c r="I17" s="1"/>
      <c r="J17" s="1"/>
      <c r="K17" s="1"/>
      <c r="L17" s="1"/>
      <c r="M17" s="1"/>
      <c r="N17" s="1"/>
    </row>
    <row r="18" spans="1:14" ht="16.149999999999999" x14ac:dyDescent="0.6">
      <c r="A18" s="5">
        <v>2</v>
      </c>
      <c r="B18" s="4">
        <v>1.0529999999999999</v>
      </c>
      <c r="C18" s="4">
        <f>0.0761/2</f>
        <v>3.805E-2</v>
      </c>
      <c r="D18" s="1"/>
      <c r="E18" s="1"/>
      <c r="G18" s="1"/>
      <c r="H18" s="1"/>
      <c r="I18" s="1"/>
      <c r="J18" s="1"/>
      <c r="K18" s="1"/>
      <c r="M18" s="1"/>
      <c r="N18" s="1"/>
    </row>
    <row r="19" spans="1:14" ht="16.149999999999999" x14ac:dyDescent="0.6">
      <c r="A19" s="9" t="s">
        <v>22</v>
      </c>
      <c r="B19" s="6">
        <v>1.0649999999999999</v>
      </c>
      <c r="C19" s="6">
        <f>0.039/2</f>
        <v>1.95E-2</v>
      </c>
      <c r="D19" s="1"/>
      <c r="E19" s="1"/>
      <c r="G19" s="1"/>
      <c r="H19" s="1"/>
      <c r="I19" s="1"/>
      <c r="J19" s="1"/>
      <c r="K19" s="1"/>
      <c r="M19" s="1"/>
      <c r="N19" s="1"/>
    </row>
    <row r="20" spans="1:14" ht="16.149999999999999" x14ac:dyDescent="0.6">
      <c r="A20" s="5">
        <v>4</v>
      </c>
      <c r="B20" s="4">
        <v>1.2030000000000001</v>
      </c>
      <c r="C20" s="4">
        <f>0.306/2</f>
        <v>0.153</v>
      </c>
      <c r="D20" s="1"/>
      <c r="E20" s="1"/>
      <c r="G20" s="1"/>
      <c r="H20" s="1"/>
      <c r="I20" s="1"/>
      <c r="J20" s="1"/>
      <c r="K20" s="1"/>
      <c r="M20" s="1"/>
      <c r="N20" s="1"/>
    </row>
    <row r="21" spans="1:14" ht="16.149999999999999" x14ac:dyDescent="0.6">
      <c r="A21" s="5">
        <v>3</v>
      </c>
      <c r="B21" s="4">
        <v>1.81</v>
      </c>
      <c r="C21" s="4">
        <f>0.465/2</f>
        <v>0.23250000000000001</v>
      </c>
      <c r="D21" s="1"/>
      <c r="E21" s="1"/>
      <c r="G21" s="1"/>
      <c r="H21" s="1"/>
      <c r="I21" s="1"/>
      <c r="J21" s="1"/>
      <c r="K21" s="1"/>
      <c r="M21" s="1"/>
      <c r="N21" s="1"/>
    </row>
    <row r="22" spans="1:14" ht="16.149999999999999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M22" s="1"/>
      <c r="N22" s="1"/>
    </row>
    <row r="23" spans="1:14" ht="16.149999999999999" x14ac:dyDescent="0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6.149999999999999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6.149999999999999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6.149999999999999" x14ac:dyDescent="0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6.149999999999999" x14ac:dyDescent="0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6.149999999999999" x14ac:dyDescent="0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6.149999999999999" x14ac:dyDescent="0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6.149999999999999" x14ac:dyDescent="0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6.149999999999999" x14ac:dyDescent="0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6.149999999999999" x14ac:dyDescent="0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6.149999999999999" x14ac:dyDescent="0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6.149999999999999" x14ac:dyDescent="0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6.149999999999999" x14ac:dyDescent="0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6.149999999999999" x14ac:dyDescent="0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6.149999999999999" x14ac:dyDescent="0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6.149999999999999" x14ac:dyDescent="0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6.149999999999999" x14ac:dyDescent="0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6.149999999999999" x14ac:dyDescent="0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6.149999999999999" x14ac:dyDescent="0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6.149999999999999" x14ac:dyDescent="0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6.149999999999999" x14ac:dyDescent="0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6.149999999999999" x14ac:dyDescent="0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6.149999999999999" x14ac:dyDescent="0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6.149999999999999" x14ac:dyDescent="0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6.149999999999999" x14ac:dyDescent="0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6.149999999999999" x14ac:dyDescent="0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6.149999999999999" x14ac:dyDescent="0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6.149999999999999" x14ac:dyDescent="0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6.149999999999999" x14ac:dyDescent="0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6.149999999999999" x14ac:dyDescent="0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6.149999999999999" x14ac:dyDescent="0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6.149999999999999" x14ac:dyDescent="0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6.149999999999999" x14ac:dyDescent="0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6.149999999999999" x14ac:dyDescent="0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6.149999999999999" x14ac:dyDescent="0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6.149999999999999" x14ac:dyDescent="0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6.149999999999999" x14ac:dyDescent="0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6.149999999999999" x14ac:dyDescent="0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sortState xmlns:xlrd2="http://schemas.microsoft.com/office/spreadsheetml/2017/richdata2" ref="A16:C21">
    <sortCondition ref="B17:B2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Scalia</dc:creator>
  <cp:lastModifiedBy>Nicolas Scalia</cp:lastModifiedBy>
  <dcterms:created xsi:type="dcterms:W3CDTF">2025-01-03T15:52:16Z</dcterms:created>
  <dcterms:modified xsi:type="dcterms:W3CDTF">2025-01-29T13:10:10Z</dcterms:modified>
</cp:coreProperties>
</file>