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709976_polimi_it/Documents/Shared Folders/Collaborative Project/DEMO/24 gennaio/DEMO CODE/ASPEN_TESTS/ASPEN_EMG/"/>
    </mc:Choice>
  </mc:AlternateContent>
  <xr:revisionPtr revIDLastSave="151" documentId="11_F25DC773A252ABDACC10487809DB68005ADE58ED" xr6:coauthVersionLast="47" xr6:coauthVersionMax="47" xr10:uidLastSave="{B0EC1092-CD1C-495C-B45E-EA304685DC8E}"/>
  <bookViews>
    <workbookView xWindow="-98" yWindow="-98" windowWidth="21795" windowHeight="12975" activeTab="1" xr2:uid="{00000000-000D-0000-FFFF-FFFF00000000}"/>
  </bookViews>
  <sheets>
    <sheet name="Data" sheetId="1" r:id="rId1"/>
    <sheet name="Graph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29" i="1"/>
  <c r="C27" i="1"/>
  <c r="B29" i="1"/>
  <c r="B28" i="1"/>
  <c r="B27" i="1"/>
  <c r="D18" i="1"/>
  <c r="D19" i="1"/>
  <c r="D17" i="1"/>
  <c r="D24" i="1"/>
  <c r="D23" i="1"/>
  <c r="D22" i="1"/>
  <c r="D13" i="1"/>
  <c r="D14" i="1"/>
  <c r="D12" i="1"/>
  <c r="D8" i="1"/>
  <c r="D9" i="1"/>
  <c r="D7" i="1"/>
  <c r="D3" i="1"/>
  <c r="D4" i="1"/>
  <c r="D2" i="1"/>
</calcChain>
</file>

<file path=xl/sharedStrings.xml><?xml version="1.0" encoding="utf-8"?>
<sst xmlns="http://schemas.openxmlformats.org/spreadsheetml/2006/main" count="43" uniqueCount="18">
  <si>
    <t>Maximum</t>
  </si>
  <si>
    <t>Median</t>
  </si>
  <si>
    <t>Test 1 - 9 movements</t>
  </si>
  <si>
    <t>Threshold</t>
  </si>
  <si>
    <t>Success</t>
  </si>
  <si>
    <t>Percentage</t>
  </si>
  <si>
    <t>Test 2 - 6 movements</t>
  </si>
  <si>
    <t>Test 3 - 5 movements</t>
  </si>
  <si>
    <t>Test 5 - 3 movements</t>
  </si>
  <si>
    <t>Test 4 - 7 movements</t>
  </si>
  <si>
    <t>Total Movements</t>
  </si>
  <si>
    <t>Maximum Success</t>
  </si>
  <si>
    <t>Median Success</t>
  </si>
  <si>
    <t>Test</t>
  </si>
  <si>
    <t xml:space="preserve">Maximum </t>
  </si>
  <si>
    <t xml:space="preserve">Median </t>
  </si>
  <si>
    <t>Minimum</t>
  </si>
  <si>
    <t>Minimum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</si>
</sst>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Manrope"/>
    </font>
    <font>
      <b/>
      <sz val="11"/>
      <color theme="1"/>
      <name val="Manrope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" fontId="1" fillId="0" borderId="0" xfId="0" applyNumberFormat="1" applyFont="1"/>
    <xf numFmtId="0" fontId="1" fillId="2" borderId="0" xfId="0" applyFont="1" applyFill="1"/>
    <xf numFmtId="1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 pitchFamily="2" charset="0"/>
                <a:ea typeface="ADLaM Display" panose="020F0502020204030204" pitchFamily="2" charset="0"/>
                <a:cs typeface="ADLaM Display" panose="020F0502020204030204" pitchFamily="2" charset="0"/>
              </a:defRPr>
            </a:pPr>
            <a:r>
              <a:rPr lang="en-US" b="1" baseline="0">
                <a:latin typeface="Manrope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Calibration Methods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  <a:ea typeface="ADLaM Display" panose="020F0502020204030204" pitchFamily="2" charset="0"/>
              <a:cs typeface="ADLaM Display" panose="020F0502020204030204" pitchFamily="2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Graphs!$A$4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73%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296B-4B9F-A8EC-27CC46D0CC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anrope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Graphs!$B$4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96B-4B9F-A8EC-27CC46D0CC5E}"/>
            </c:ext>
          </c:extLst>
        </c:ser>
        <c:ser>
          <c:idx val="1"/>
          <c:order val="1"/>
          <c:tx>
            <c:strRef>
              <c:f>Graphs!$A$3</c:f>
              <c:strCache>
                <c:ptCount val="1"/>
                <c:pt idx="0">
                  <c:v>Median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296B-4B9F-A8EC-27CC46D0CC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anrope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Graphs!$B$3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6B-4B9F-A8EC-27CC46D0CC5E}"/>
            </c:ext>
          </c:extLst>
        </c:ser>
        <c:ser>
          <c:idx val="0"/>
          <c:order val="2"/>
          <c:tx>
            <c:strRef>
              <c:f>Graphs!$A$2</c:f>
              <c:strCache>
                <c:ptCount val="1"/>
                <c:pt idx="0">
                  <c:v>Maximum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93%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296B-4B9F-A8EC-27CC46D0CC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anrope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Graphs!$B$2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6B-4B9F-A8EC-27CC46D0CC5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07020272"/>
        <c:axId val="307021712"/>
      </c:barChart>
      <c:catAx>
        <c:axId val="307020272"/>
        <c:scaling>
          <c:orientation val="minMax"/>
        </c:scaling>
        <c:delete val="1"/>
        <c:axPos val="l"/>
        <c:majorTickMark val="none"/>
        <c:minorTickMark val="none"/>
        <c:tickLblPos val="nextTo"/>
        <c:crossAx val="307021712"/>
        <c:crosses val="autoZero"/>
        <c:auto val="1"/>
        <c:lblAlgn val="ctr"/>
        <c:lblOffset val="100"/>
        <c:noMultiLvlLbl val="0"/>
      </c:catAx>
      <c:valAx>
        <c:axId val="307021712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rope"/>
                    <a:ea typeface="+mn-ea"/>
                    <a:cs typeface="+mn-cs"/>
                  </a:defRPr>
                </a:pPr>
                <a:r>
                  <a:rPr lang="en-US"/>
                  <a:t>N°</a:t>
                </a:r>
                <a:r>
                  <a:rPr lang="en-US" baseline="0"/>
                  <a:t> of movements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rope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/>
                <a:ea typeface="+mn-ea"/>
                <a:cs typeface="+mn-cs"/>
              </a:defRPr>
            </a:pPr>
            <a:endParaRPr lang="en-US"/>
          </a:p>
        </c:txPr>
        <c:crossAx val="30702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nrop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anrop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452438</xdr:colOff>
      <xdr:row>0</xdr:row>
      <xdr:rowOff>133351</xdr:rowOff>
    </xdr:from>
    <xdr:to>
      <xdr:col>12</xdr:col>
      <xdr:colOff>147638</xdr:colOff>
      <xdr:row>13</xdr:row>
      <xdr:rowOff>90488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34BAE9-0824-45F8-AA4C-374E4F8787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1">
      <a:dk1>
        <a:srgbClr val="000000"/>
      </a:dk1>
      <a:lt1>
        <a:srgbClr val="FFFFFF"/>
      </a:lt1>
      <a:dk2>
        <a:srgbClr val="102C53"/>
      </a:dk2>
      <a:lt2>
        <a:srgbClr val="FFFFFF"/>
      </a:lt2>
      <a:accent1>
        <a:srgbClr val="102C53"/>
      </a:accent1>
      <a:accent2>
        <a:srgbClr val="596C87"/>
      </a:accent2>
      <a:accent3>
        <a:srgbClr val="8795A8"/>
      </a:accent3>
      <a:accent4>
        <a:srgbClr val="B7BFCA"/>
      </a:accent4>
      <a:accent5>
        <a:srgbClr val="D0D5DD"/>
      </a:accent5>
      <a:accent6>
        <a:srgbClr val="F3F3F6"/>
      </a:accent6>
      <a:hlink>
        <a:srgbClr val="0000FF"/>
      </a:hlink>
      <a:folHlink>
        <a:srgbClr val="28C8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topLeftCell="A8" workbookViewId="0">
      <selection activeCell="G13" sqref="G13"/>
    </sheetView>
  </sheetViews>
  <sheetFormatPr defaultRowHeight="14.25" x14ac:dyDescent="0.45"/>
  <cols>
    <col min="1" max="1" width="20.86328125" bestFit="1" customWidth="1"/>
    <col min="2" max="2" width="13.19921875" bestFit="1" customWidth="1"/>
    <col min="4" max="4" width="11.59765625" bestFit="1" customWidth="1"/>
  </cols>
  <sheetData>
    <row r="1" spans="1:21" ht="16.149999999999999" x14ac:dyDescent="0.6">
      <c r="A1" s="2" t="s">
        <v>2</v>
      </c>
      <c r="B1" s="1" t="s">
        <v>3</v>
      </c>
      <c r="C1" s="1" t="s">
        <v>4</v>
      </c>
      <c r="D1" s="1" t="s">
        <v>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6.149999999999999" x14ac:dyDescent="0.6">
      <c r="A2" s="1" t="s">
        <v>0</v>
      </c>
      <c r="B2" s="1">
        <v>8.6753</v>
      </c>
      <c r="C2" s="1">
        <v>8</v>
      </c>
      <c r="D2" s="4">
        <f>C2/9%</f>
        <v>88.888888888888886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6.149999999999999" x14ac:dyDescent="0.6">
      <c r="A3" s="1" t="s">
        <v>1</v>
      </c>
      <c r="B3" s="1">
        <v>5.8501000000000003</v>
      </c>
      <c r="C3" s="1">
        <v>6</v>
      </c>
      <c r="D3" s="4">
        <f t="shared" ref="D3:D4" si="0">C3/9%</f>
        <v>66.666666666666671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6.149999999999999" x14ac:dyDescent="0.6">
      <c r="A4" s="1" t="s">
        <v>16</v>
      </c>
      <c r="B4" s="1">
        <v>4.4217000000000004</v>
      </c>
      <c r="C4" s="1">
        <v>5</v>
      </c>
      <c r="D4" s="4">
        <f t="shared" si="0"/>
        <v>55.555555555555557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6.149999999999999" x14ac:dyDescent="0.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6.149999999999999" x14ac:dyDescent="0.6">
      <c r="A6" s="2" t="s">
        <v>6</v>
      </c>
      <c r="B6" s="1" t="s">
        <v>3</v>
      </c>
      <c r="C6" s="1" t="s">
        <v>4</v>
      </c>
      <c r="D6" s="1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6.149999999999999" x14ac:dyDescent="0.6">
      <c r="A7" s="1" t="s">
        <v>0</v>
      </c>
      <c r="B7" s="3">
        <v>8.8109999999999999</v>
      </c>
      <c r="C7" s="1">
        <v>6</v>
      </c>
      <c r="D7" s="4">
        <f>C7/6%</f>
        <v>100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6.149999999999999" x14ac:dyDescent="0.6">
      <c r="A8" s="1" t="s">
        <v>1</v>
      </c>
      <c r="B8" s="1">
        <v>5.5175000000000001</v>
      </c>
      <c r="C8" s="1">
        <v>5</v>
      </c>
      <c r="D8" s="4">
        <f t="shared" ref="D8:D9" si="1">C8/6%</f>
        <v>83.333333333333343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6.149999999999999" x14ac:dyDescent="0.6">
      <c r="A9" s="1" t="s">
        <v>16</v>
      </c>
      <c r="B9" s="3">
        <v>4.4409999999999998</v>
      </c>
      <c r="C9" s="1">
        <v>5</v>
      </c>
      <c r="D9" s="4">
        <f t="shared" si="1"/>
        <v>83.333333333333343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6.149999999999999" x14ac:dyDescent="0.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6.149999999999999" x14ac:dyDescent="0.6">
      <c r="A11" s="2" t="s">
        <v>7</v>
      </c>
      <c r="B11" s="1" t="s">
        <v>3</v>
      </c>
      <c r="C11" s="1" t="s">
        <v>4</v>
      </c>
      <c r="D11" s="1" t="s">
        <v>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6.149999999999999" x14ac:dyDescent="0.6">
      <c r="A12" s="1" t="s">
        <v>0</v>
      </c>
      <c r="B12" s="3">
        <v>4.7496</v>
      </c>
      <c r="C12" s="1">
        <v>5</v>
      </c>
      <c r="D12" s="4">
        <f>C12/5%</f>
        <v>100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6.149999999999999" x14ac:dyDescent="0.6">
      <c r="A13" s="1" t="s">
        <v>1</v>
      </c>
      <c r="B13" s="1">
        <v>3.8395999999999999</v>
      </c>
      <c r="C13" s="1">
        <v>4</v>
      </c>
      <c r="D13" s="4">
        <f t="shared" ref="D13:D14" si="2">C13/5%</f>
        <v>80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6.149999999999999" x14ac:dyDescent="0.6">
      <c r="A14" s="1" t="s">
        <v>16</v>
      </c>
      <c r="B14" s="3">
        <v>3.5529000000000002</v>
      </c>
      <c r="C14" s="1">
        <v>3</v>
      </c>
      <c r="D14" s="4">
        <f t="shared" si="2"/>
        <v>60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6.149999999999999" x14ac:dyDescent="0.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6.149999999999999" x14ac:dyDescent="0.6">
      <c r="A16" s="2" t="s">
        <v>9</v>
      </c>
      <c r="B16" s="1" t="s">
        <v>3</v>
      </c>
      <c r="C16" s="1" t="s">
        <v>4</v>
      </c>
      <c r="D16" s="1" t="s">
        <v>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6.149999999999999" x14ac:dyDescent="0.6">
      <c r="A17" s="1" t="s">
        <v>0</v>
      </c>
      <c r="B17" s="3">
        <v>17.688800000000001</v>
      </c>
      <c r="C17" s="1">
        <v>6</v>
      </c>
      <c r="D17" s="4">
        <f>C17/7%</f>
        <v>85.714285714285708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6.149999999999999" x14ac:dyDescent="0.6">
      <c r="A18" s="1" t="s">
        <v>1</v>
      </c>
      <c r="B18" s="1">
        <v>8.0729000000000006</v>
      </c>
      <c r="C18" s="1">
        <v>6</v>
      </c>
      <c r="D18" s="4">
        <f t="shared" ref="D18:D19" si="3">C18/7%</f>
        <v>85.714285714285708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6.149999999999999" x14ac:dyDescent="0.6">
      <c r="A19" s="1" t="s">
        <v>16</v>
      </c>
      <c r="B19" s="3">
        <v>5.1668000000000003</v>
      </c>
      <c r="C19" s="1">
        <v>6</v>
      </c>
      <c r="D19" s="4">
        <f t="shared" si="3"/>
        <v>85.714285714285708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6.149999999999999" x14ac:dyDescent="0.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6.149999999999999" x14ac:dyDescent="0.6">
      <c r="A21" s="2" t="s">
        <v>8</v>
      </c>
      <c r="B21" s="1" t="s">
        <v>3</v>
      </c>
      <c r="C21" s="1" t="s">
        <v>4</v>
      </c>
      <c r="D21" s="1" t="s">
        <v>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6.149999999999999" x14ac:dyDescent="0.6">
      <c r="A22" s="1" t="s">
        <v>0</v>
      </c>
      <c r="B22" s="3">
        <v>6.3072999999999997</v>
      </c>
      <c r="C22" s="1">
        <v>3</v>
      </c>
      <c r="D22" s="4">
        <f>C22/3%</f>
        <v>100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6.149999999999999" x14ac:dyDescent="0.6">
      <c r="A23" s="1" t="s">
        <v>1</v>
      </c>
      <c r="B23" s="1">
        <v>6.0727000000000002</v>
      </c>
      <c r="C23" s="1">
        <v>3</v>
      </c>
      <c r="D23" s="4">
        <f t="shared" ref="D23:D24" si="4">C23/3%</f>
        <v>100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6.149999999999999" x14ac:dyDescent="0.6">
      <c r="A24" s="1" t="s">
        <v>16</v>
      </c>
      <c r="B24" s="3">
        <v>6.1395999999999997</v>
      </c>
      <c r="C24" s="1">
        <v>3</v>
      </c>
      <c r="D24" s="4">
        <f t="shared" si="4"/>
        <v>100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6.149999999999999" x14ac:dyDescent="0.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6.149999999999999" x14ac:dyDescent="0.6">
      <c r="A26" s="1" t="s">
        <v>10</v>
      </c>
      <c r="B26" s="1">
        <v>30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6.149999999999999" x14ac:dyDescent="0.6">
      <c r="A27" s="5" t="s">
        <v>11</v>
      </c>
      <c r="B27" s="5">
        <f>SUM(C2+C7+C12+C17+C22)</f>
        <v>28</v>
      </c>
      <c r="C27" s="6">
        <f>B27/$B$26%</f>
        <v>93.333333333333343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6.149999999999999" x14ac:dyDescent="0.6">
      <c r="A28" s="1" t="s">
        <v>12</v>
      </c>
      <c r="B28" s="1">
        <f>SUM(C3+C8+C13+C18+C23)</f>
        <v>24</v>
      </c>
      <c r="C28" s="4">
        <f t="shared" ref="C28:C29" si="5">B28/$B$26%</f>
        <v>80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6.149999999999999" x14ac:dyDescent="0.6">
      <c r="A29" s="1" t="s">
        <v>17</v>
      </c>
      <c r="B29" s="1">
        <f>SUM(C4+C9+C14+C19+C24)</f>
        <v>22</v>
      </c>
      <c r="C29" s="4">
        <f t="shared" si="5"/>
        <v>73.333333333333343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6.149999999999999" x14ac:dyDescent="0.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6.149999999999999" x14ac:dyDescent="0.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10B90-0824-4F0E-BF01-C77BFC66C261}">
  <dimension ref="A1:P28"/>
  <sheetViews>
    <sheetView tabSelected="1" workbookViewId="0">
      <selection activeCell="I20" sqref="I20"/>
    </sheetView>
  </sheetViews>
  <sheetFormatPr defaultRowHeight="14.25" x14ac:dyDescent="0.45"/>
  <cols>
    <col min="1" max="1" width="17.59765625" bestFit="1" customWidth="1"/>
  </cols>
  <sheetData>
    <row r="1" spans="1:16" ht="16.149999999999999" x14ac:dyDescent="0.6">
      <c r="A1" s="2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6.149999999999999" x14ac:dyDescent="0.6">
      <c r="A2" s="5" t="s">
        <v>14</v>
      </c>
      <c r="B2" s="5">
        <v>28</v>
      </c>
      <c r="C2" s="6">
        <v>93.333333333333343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6.149999999999999" x14ac:dyDescent="0.6">
      <c r="A3" s="1" t="s">
        <v>15</v>
      </c>
      <c r="B3" s="1">
        <v>24</v>
      </c>
      <c r="C3" s="1">
        <v>80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6.149999999999999" x14ac:dyDescent="0.6">
      <c r="A4" s="1" t="s">
        <v>16</v>
      </c>
      <c r="B4" s="1">
        <v>22</v>
      </c>
      <c r="C4" s="4">
        <v>73.333333333333343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6.149999999999999" x14ac:dyDescent="0.6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6.149999999999999" x14ac:dyDescent="0.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6.149999999999999" x14ac:dyDescent="0.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6.149999999999999" x14ac:dyDescent="0.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6.149999999999999" x14ac:dyDescent="0.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6.149999999999999" x14ac:dyDescent="0.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6.149999999999999" x14ac:dyDescent="0.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6.149999999999999" x14ac:dyDescent="0.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6.149999999999999" x14ac:dyDescent="0.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6.149999999999999" x14ac:dyDescent="0.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6.149999999999999" x14ac:dyDescent="0.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6.149999999999999" x14ac:dyDescent="0.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6.149999999999999" x14ac:dyDescent="0.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6.149999999999999" x14ac:dyDescent="0.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6.149999999999999" x14ac:dyDescent="0.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6.149999999999999" x14ac:dyDescent="0.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6.149999999999999" x14ac:dyDescent="0.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6.149999999999999" x14ac:dyDescent="0.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6.149999999999999" x14ac:dyDescent="0.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6.149999999999999" x14ac:dyDescent="0.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6.149999999999999" x14ac:dyDescent="0.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6.149999999999999" x14ac:dyDescent="0.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6.149999999999999" x14ac:dyDescent="0.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6.149999999999999" x14ac:dyDescent="0.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</sheetData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Scalia</dc:creator>
  <cp:lastModifiedBy>Nicolas Scalia</cp:lastModifiedBy>
  <dcterms:created xsi:type="dcterms:W3CDTF">2015-06-05T18:17:20Z</dcterms:created>
  <dcterms:modified xsi:type="dcterms:W3CDTF">2025-01-27T01:02:30Z</dcterms:modified>
</cp:coreProperties>
</file>