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709976_polimi_it/Documents/Shared Folders/Collaborative Project/Tests/ASPEN_SETUP/"/>
    </mc:Choice>
  </mc:AlternateContent>
  <xr:revisionPtr revIDLastSave="272" documentId="11_F25DC773A252ABDACC10487809DB68005ADE58ED" xr6:coauthVersionLast="47" xr6:coauthVersionMax="47" xr10:uidLastSave="{7A56CE40-C86E-421B-8AD0-9B8690881AF7}"/>
  <bookViews>
    <workbookView xWindow="-98" yWindow="-98" windowWidth="21795" windowHeight="12975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</calcChain>
</file>

<file path=xl/sharedStrings.xml><?xml version="1.0" encoding="utf-8"?>
<sst xmlns="http://schemas.openxmlformats.org/spreadsheetml/2006/main" count="5" uniqueCount="4">
  <si>
    <t>Subject</t>
  </si>
  <si>
    <t>Median</t>
  </si>
  <si>
    <t>Setup Time</t>
  </si>
  <si>
    <t>Half IQR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</si>
</sst>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Manrope"/>
    </font>
    <font>
      <b/>
      <sz val="11"/>
      <color theme="1"/>
      <name val="Manrope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45" fontId="1" fillId="0" borderId="0" xfId="0" applyNumberFormat="1" applyFont="1"/>
    <xf numFmtId="0" fontId="1" fillId="2" borderId="0" xfId="0" applyFont="1" applyFill="1" applyAlignment="1">
      <alignment horizontal="left"/>
    </xf>
    <xf numFmtId="45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nrope" pitchFamily="2" charset="0"/>
                <a:ea typeface="ADLaM Display" panose="020F0502020204030204" pitchFamily="2" charset="0"/>
                <a:cs typeface="ADLaM Display" panose="020F0502020204030204" pitchFamily="2" charset="0"/>
              </a:defRPr>
            </a:pPr>
            <a:r>
              <a:rPr lang="en-US" b="1">
                <a:latin typeface="Manrope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Setup Time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  <a:ea typeface="ADLaM Display" panose="020F0502020204030204" pitchFamily="2" charset="0"/>
              <a:cs typeface="ADLaM Display" panose="020F0502020204030204" pitchFamily="2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Manrope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Data!$B$2</c:f>
              <c:numCache>
                <c:formatCode>mm:ss</c:formatCode>
                <c:ptCount val="1"/>
                <c:pt idx="0">
                  <c:v>5.5208333333333333E-3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6-4DCA-932B-9D83A3DF499D}"/>
            </c:ext>
          </c:extLst>
        </c:ser>
        <c:ser>
          <c:idx val="1"/>
          <c:order val="1"/>
          <c:tx>
            <c:strRef>
              <c:f>Data!$A$3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Manrope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Data!$B$3</c:f>
              <c:numCache>
                <c:formatCode>mm:ss</c:formatCode>
                <c:ptCount val="1"/>
                <c:pt idx="0">
                  <c:v>5.7870370370370367E-3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76-4DCA-932B-9D83A3DF499D}"/>
            </c:ext>
          </c:extLst>
        </c:ser>
        <c:ser>
          <c:idx val="2"/>
          <c:order val="2"/>
          <c:tx>
            <c:strRef>
              <c:f>Data!$A$4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Manrope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Data!$B$9</c:f>
                <c:numCache>
                  <c:formatCode>General</c:formatCode>
                  <c:ptCount val="1"/>
                  <c:pt idx="0">
                    <c:v>4.1666666666666675E-4</c:v>
                  </c:pt>
                </c:numCache>
              </c:numRef>
            </c:plus>
            <c:minus>
              <c:numRef>
                <c:f>Data!$B$9</c:f>
                <c:numCache>
                  <c:formatCode>General</c:formatCode>
                  <c:ptCount val="1"/>
                  <c:pt idx="0">
                    <c:v>4.1666666666666675E-4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Data!$B$4</c:f>
              <c:numCache>
                <c:formatCode>mm:ss</c:formatCode>
                <c:ptCount val="1"/>
                <c:pt idx="0">
                  <c:v>5.9953703703703705E-3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76-4DCA-932B-9D83A3DF499D}"/>
            </c:ext>
          </c:extLst>
        </c:ser>
        <c:ser>
          <c:idx val="3"/>
          <c:order val="3"/>
          <c:tx>
            <c:strRef>
              <c:f>Data!$A$5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Manrope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Data!$B$5</c:f>
              <c:numCache>
                <c:formatCode>mm:ss</c:formatCode>
                <c:ptCount val="1"/>
                <c:pt idx="0">
                  <c:v>6.6203703703703702E-3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76-4DCA-932B-9D83A3DF499D}"/>
            </c:ext>
          </c:extLst>
        </c:ser>
        <c:ser>
          <c:idx val="4"/>
          <c:order val="4"/>
          <c:tx>
            <c:strRef>
              <c:f>Data!$A$6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ACE-4963-BB4F-41771D3B5F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Manrope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Data!$B$6</c:f>
              <c:numCache>
                <c:formatCode>mm:ss</c:formatCode>
                <c:ptCount val="1"/>
                <c:pt idx="0">
                  <c:v>7.0949074074074074E-3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76-4DCA-932B-9D83A3DF499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07020272"/>
        <c:axId val="307021712"/>
      </c:barChart>
      <c:catAx>
        <c:axId val="30702027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rope"/>
                    <a:ea typeface="+mn-ea"/>
                    <a:cs typeface="+mn-cs"/>
                  </a:defRPr>
                </a:pPr>
                <a:r>
                  <a:rPr lang="en-US"/>
                  <a:t>Subjects</a:t>
                </a:r>
              </a:p>
            </c:rich>
          </c:tx>
          <c:layout>
            <c:manualLayout>
              <c:xMode val="edge"/>
              <c:yMode val="edge"/>
              <c:x val="1.3888925976052556E-2"/>
              <c:y val="0.302442843222749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rope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307021712"/>
        <c:crosses val="autoZero"/>
        <c:auto val="1"/>
        <c:lblAlgn val="ctr"/>
        <c:lblOffset val="100"/>
        <c:noMultiLvlLbl val="0"/>
      </c:catAx>
      <c:valAx>
        <c:axId val="307021712"/>
        <c:scaling>
          <c:orientation val="minMax"/>
          <c:max val="8.3500000000000015E-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anrope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[mm:ss]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anrope"/>
                  <a:ea typeface="+mn-ea"/>
                  <a:cs typeface="+mn-cs"/>
                </a:defRPr>
              </a:pPr>
              <a:endParaRPr lang="en-US"/>
            </a:p>
          </c:txPr>
        </c:title>
        <c:numFmt formatCode="mm:ss;@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nrope"/>
                <a:ea typeface="+mn-ea"/>
                <a:cs typeface="+mn-cs"/>
              </a:defRPr>
            </a:pPr>
            <a:endParaRPr lang="en-US"/>
          </a:p>
        </c:txPr>
        <c:crossAx val="307020272"/>
        <c:crosses val="autoZero"/>
        <c:crossBetween val="between"/>
        <c:majorUnit val="1.3889000000000004E-3"/>
        <c:minorUnit val="5.0000000000000023E-5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39061884842519679"/>
          <c:y val="0.88129138086911329"/>
          <c:w val="0.13044502610810796"/>
          <c:h val="8.94861308808093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nrop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anrope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512202</xdr:colOff>
      <xdr:row>1</xdr:row>
      <xdr:rowOff>22526</xdr:rowOff>
    </xdr:from>
    <xdr:to>
      <xdr:col>12</xdr:col>
      <xdr:colOff>207402</xdr:colOff>
      <xdr:row>14</xdr:row>
      <xdr:rowOff>62986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6DD7D1-ADFC-CD75-8672-69E43D425B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0.54124</cdr:x>
      <cdr:y>0.87356</cdr:y>
    </cdr:from>
    <cdr:to>
      <cdr:x>0.66208</cdr:x>
      <cdr:y>0.96731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82A3BEC-7EA6-F721-2029-E018DC2AA715}"/>
            </a:ext>
          </a:extLst>
        </cdr:cNvPr>
        <cdr:cNvSpPr txBox="1"/>
      </cdr:nvSpPr>
      <cdr:spPr>
        <a:xfrm xmlns:a="http://schemas.openxmlformats.org/drawingml/2006/main">
          <a:off x="2639534" y="2259047"/>
          <a:ext cx="589313" cy="2424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kern="1200">
              <a:solidFill>
                <a:schemeClr val="tx1">
                  <a:lumMod val="65000"/>
                  <a:lumOff val="35000"/>
                </a:schemeClr>
              </a:solidFill>
              <a:latin typeface="Manrope" pitchFamily="2" charset="0"/>
            </a:rPr>
            <a:t> IQR </a:t>
          </a:r>
          <a:endParaRPr lang="en-US" sz="1100" kern="1200">
            <a:solidFill>
              <a:schemeClr val="tx1">
                <a:lumMod val="65000"/>
                <a:lumOff val="35000"/>
              </a:schemeClr>
            </a:solidFill>
            <a:latin typeface="Manrope" pitchFamily="2" charset="0"/>
          </a:endParaRPr>
        </a:p>
      </cdr:txBody>
    </cdr:sp>
  </cdr:relSizeAnchor>
  <cdr:relSizeAnchor xmlns:cdr="http://schemas.openxmlformats.org/drawingml/2006/chartDrawing">
    <cdr:from>
      <cdr:x>0.5292</cdr:x>
      <cdr:y>0.92152</cdr:y>
    </cdr:from>
    <cdr:to>
      <cdr:x>0.55757</cdr:x>
      <cdr:y>0.92152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0EFBA553-8DDF-0B39-CE5F-46EC677C88AF}"/>
            </a:ext>
          </a:extLst>
        </cdr:cNvPr>
        <cdr:cNvCxnSpPr/>
      </cdr:nvCxnSpPr>
      <cdr:spPr>
        <a:xfrm xmlns:a="http://schemas.openxmlformats.org/drawingml/2006/main">
          <a:off x="2578410" y="2379722"/>
          <a:ext cx="138227" cy="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tx1">
              <a:lumMod val="65000"/>
              <a:lumOff val="3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ustom 1">
      <a:dk1>
        <a:srgbClr val="000000"/>
      </a:dk1>
      <a:lt1>
        <a:srgbClr val="FFFFFF"/>
      </a:lt1>
      <a:dk2>
        <a:srgbClr val="102C53"/>
      </a:dk2>
      <a:lt2>
        <a:srgbClr val="FFFFFF"/>
      </a:lt2>
      <a:accent1>
        <a:srgbClr val="102C53"/>
      </a:accent1>
      <a:accent2>
        <a:srgbClr val="596C87"/>
      </a:accent2>
      <a:accent3>
        <a:srgbClr val="8795A8"/>
      </a:accent3>
      <a:accent4>
        <a:srgbClr val="B7BFCA"/>
      </a:accent4>
      <a:accent5>
        <a:srgbClr val="D0D5DD"/>
      </a:accent5>
      <a:accent6>
        <a:srgbClr val="F3F3F6"/>
      </a:accent6>
      <a:hlink>
        <a:srgbClr val="0000FF"/>
      </a:hlink>
      <a:folHlink>
        <a:srgbClr val="28C8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="109" zoomScaleNormal="100" workbookViewId="0">
      <selection activeCell="B17" sqref="B17"/>
    </sheetView>
  </sheetViews>
  <sheetFormatPr defaultRowHeight="14.25" x14ac:dyDescent="0.45"/>
  <cols>
    <col min="1" max="1" width="12" bestFit="1" customWidth="1"/>
    <col min="2" max="2" width="12.73046875" bestFit="1" customWidth="1"/>
  </cols>
  <sheetData>
    <row r="1" spans="1:2" ht="16.149999999999999" x14ac:dyDescent="0.6">
      <c r="A1" s="3" t="s">
        <v>0</v>
      </c>
      <c r="B1" s="3" t="s">
        <v>2</v>
      </c>
    </row>
    <row r="2" spans="1:2" ht="16.149999999999999" x14ac:dyDescent="0.6">
      <c r="A2" s="2">
        <v>3</v>
      </c>
      <c r="B2" s="4">
        <v>5.5208333333333333E-3</v>
      </c>
    </row>
    <row r="3" spans="1:2" ht="16.149999999999999" x14ac:dyDescent="0.6">
      <c r="A3" s="2">
        <v>1</v>
      </c>
      <c r="B3" s="4">
        <v>5.7870370370370367E-3</v>
      </c>
    </row>
    <row r="4" spans="1:2" ht="16.149999999999999" x14ac:dyDescent="0.6">
      <c r="A4" s="5" t="s">
        <v>1</v>
      </c>
      <c r="B4" s="6">
        <v>5.9953703703703705E-3</v>
      </c>
    </row>
    <row r="5" spans="1:2" ht="16.149999999999999" x14ac:dyDescent="0.6">
      <c r="A5" s="2">
        <v>2</v>
      </c>
      <c r="B5" s="4">
        <v>6.6203703703703702E-3</v>
      </c>
    </row>
    <row r="6" spans="1:2" ht="16.149999999999999" x14ac:dyDescent="0.6">
      <c r="A6" s="2">
        <v>4</v>
      </c>
      <c r="B6" s="4">
        <v>7.0949074074074074E-3</v>
      </c>
    </row>
    <row r="7" spans="1:2" ht="16.149999999999999" x14ac:dyDescent="0.6">
      <c r="A7" s="1"/>
      <c r="B7" s="1"/>
    </row>
    <row r="8" spans="1:2" ht="16.149999999999999" x14ac:dyDescent="0.6">
      <c r="A8" s="3" t="s">
        <v>1</v>
      </c>
      <c r="B8" s="4">
        <f>MEDIAN(B2:B6)</f>
        <v>5.9953703703703705E-3</v>
      </c>
    </row>
    <row r="9" spans="1:2" ht="16.149999999999999" x14ac:dyDescent="0.6">
      <c r="A9" s="3" t="s">
        <v>3</v>
      </c>
      <c r="B9" s="4">
        <f>(_xlfn.QUARTILE.INC(B2:B6,3)-_xlfn.QUARTILE.INC(B2:B6,1))/2</f>
        <v>4.1666666666666675E-4</v>
      </c>
    </row>
  </sheetData>
  <sortState xmlns:xlrd2="http://schemas.microsoft.com/office/spreadsheetml/2017/richdata2" ref="A2:B6">
    <sortCondition ref="B2:B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Scalia</dc:creator>
  <cp:lastModifiedBy>Nicolas Scalia</cp:lastModifiedBy>
  <dcterms:created xsi:type="dcterms:W3CDTF">2015-06-05T18:17:20Z</dcterms:created>
  <dcterms:modified xsi:type="dcterms:W3CDTF">2025-01-25T13:58:36Z</dcterms:modified>
</cp:coreProperties>
</file>