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09976_polimi_it/Documents/Shared Folders/Collaborative Project/CONSEGNA WEBEEP/Group 3B/ASPEN_DEMO/ASPEN_CONTROL/DATA_ANALYSIS/_TESTS/ASPEN_SURVEY/"/>
    </mc:Choice>
  </mc:AlternateContent>
  <xr:revisionPtr revIDLastSave="343" documentId="11_F25DC773A252ABDACC10487809DB68005ADE58ED" xr6:coauthVersionLast="47" xr6:coauthVersionMax="47" xr10:uidLastSave="{DAF588EE-BC4A-41E1-A410-E8B68B271FE3}"/>
  <bookViews>
    <workbookView xWindow="-98" yWindow="-98" windowWidth="21795" windowHeight="12975" activeTab="1" xr2:uid="{00000000-000D-0000-FFFF-FFFF00000000}"/>
  </bookViews>
  <sheets>
    <sheet name="Data" sheetId="1" r:id="rId1"/>
    <sheet name="Grap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6" i="1"/>
  <c r="Q5" i="1"/>
  <c r="P6" i="1"/>
  <c r="P5" i="1"/>
  <c r="Q4" i="1"/>
  <c r="R4" i="1" s="1"/>
  <c r="P4" i="1"/>
  <c r="Q3" i="1"/>
  <c r="P3" i="1"/>
  <c r="R3" i="1" s="1"/>
  <c r="Q2" i="1"/>
  <c r="P2" i="1"/>
  <c r="R6" i="1" l="1"/>
  <c r="B9" i="1" s="1"/>
  <c r="R2" i="1"/>
  <c r="B8" i="1" l="1"/>
</calcChain>
</file>

<file path=xl/sharedStrings.xml><?xml version="1.0" encoding="utf-8"?>
<sst xmlns="http://schemas.openxmlformats.org/spreadsheetml/2006/main" count="61" uniqueCount="37">
  <si>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</si>
  <si>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</si>
  <si>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</si>
  <si>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</si>
  <si>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</si>
  <si>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</si>
  <si>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</si>
  <si>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</si>
  <si>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</si>
  <si>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</si>
  <si>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Subject</t>
  </si>
  <si>
    <t>Age</t>
  </si>
  <si>
    <t>Gender</t>
  </si>
  <si>
    <t>Height</t>
  </si>
  <si>
    <t>MRC</t>
  </si>
  <si>
    <t>&gt;190</t>
  </si>
  <si>
    <t>Male</t>
  </si>
  <si>
    <t>18-30</t>
  </si>
  <si>
    <t>1 (Nico)</t>
  </si>
  <si>
    <t>Sum of positive</t>
  </si>
  <si>
    <t>Sum of negative</t>
  </si>
  <si>
    <t>Score</t>
  </si>
  <si>
    <t>2 (Robi)</t>
  </si>
  <si>
    <t>181-185</t>
  </si>
  <si>
    <t>3 (Nicolas)</t>
  </si>
  <si>
    <t>186-190</t>
  </si>
  <si>
    <t>Median</t>
  </si>
  <si>
    <t>IQR</t>
  </si>
  <si>
    <t>4(Simo)</t>
  </si>
  <si>
    <t>176-180</t>
  </si>
  <si>
    <t>5(Matte)</t>
  </si>
  <si>
    <t>171-175</t>
  </si>
  <si>
    <t>IQR/2</t>
  </si>
  <si>
    <t>&lt;161</t>
  </si>
  <si>
    <t>161-165</t>
  </si>
  <si>
    <t>166-170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</si>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</sst>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anrope"/>
    </font>
    <font>
      <b/>
      <sz val="11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defRPr>
            </a:pPr>
            <a:r>
              <a:rPr lang="en-US" b="1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SUS</a:t>
            </a:r>
            <a:r>
              <a:rPr lang="en-US" b="1" baseline="0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Questions Result</a:t>
            </a:r>
            <a:endParaRPr lang="en-US" b="1"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Graphs!$A$2</c:f>
              <c:strCache>
                <c:ptCount val="1"/>
                <c:pt idx="0">
                  <c:v>5(Matte)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Graphs!$B$2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3-4BE9-A2BA-F403F5F3E94E}"/>
            </c:ext>
          </c:extLst>
        </c:ser>
        <c:ser>
          <c:idx val="1"/>
          <c:order val="1"/>
          <c:tx>
            <c:strRef>
              <c:f>Graphs!$A$3</c:f>
              <c:strCache>
                <c:ptCount val="1"/>
                <c:pt idx="0">
                  <c:v>2 (Robi)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</c:f>
              <c:numCache>
                <c:formatCode>General</c:formatCode>
                <c:ptCount val="1"/>
                <c:pt idx="0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3-4BE9-A2BA-F403F5F3E94E}"/>
            </c:ext>
          </c:extLst>
        </c:ser>
        <c:ser>
          <c:idx val="2"/>
          <c:order val="2"/>
          <c:tx>
            <c:strRef>
              <c:f>Graphs!$A$4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Graphs!$B$9</c:f>
                <c:numCache>
                  <c:formatCode>General</c:formatCode>
                  <c:ptCount val="1"/>
                  <c:pt idx="0">
                    <c:v>5</c:v>
                  </c:pt>
                </c:numCache>
              </c:numRef>
            </c:plus>
            <c:minus>
              <c:numRef>
                <c:f>Graphs!$B$9</c:f>
                <c:numCache>
                  <c:formatCode>General</c:formatCode>
                  <c:ptCount val="1"/>
                  <c:pt idx="0">
                    <c:v>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Graphs!$B$4</c:f>
              <c:numCache>
                <c:formatCode>General</c:formatCode>
                <c:ptCount val="1"/>
                <c:pt idx="0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3-4BE9-A2BA-F403F5F3E94E}"/>
            </c:ext>
          </c:extLst>
        </c:ser>
        <c:ser>
          <c:idx val="3"/>
          <c:order val="3"/>
          <c:tx>
            <c:strRef>
              <c:f>Graphs!$A$5</c:f>
              <c:strCache>
                <c:ptCount val="1"/>
                <c:pt idx="0">
                  <c:v>4(Simo)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Graphs!$B$5</c:f>
              <c:numCache>
                <c:formatCode>General</c:formatCode>
                <c:ptCount val="1"/>
                <c:pt idx="0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3-4BE9-A2BA-F403F5F3E94E}"/>
            </c:ext>
          </c:extLst>
        </c:ser>
        <c:ser>
          <c:idx val="4"/>
          <c:order val="4"/>
          <c:tx>
            <c:strRef>
              <c:f>Graphs!$A$6</c:f>
              <c:strCache>
                <c:ptCount val="1"/>
                <c:pt idx="0">
                  <c:v>1 (Nico)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3-4BE9-A2BA-F403F5F3E9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Graphs!$B$6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53-4BE9-A2BA-F403F5F3E9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7020272"/>
        <c:axId val="307021712"/>
      </c:barChart>
      <c:catAx>
        <c:axId val="307020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Subjects</a:t>
                </a:r>
              </a:p>
            </c:rich>
          </c:tx>
          <c:layout>
            <c:manualLayout>
              <c:xMode val="edge"/>
              <c:yMode val="edge"/>
              <c:x val="1.3888820538057742E-2"/>
              <c:y val="0.30855660495501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crossAx val="307021712"/>
        <c:crosses val="autoZero"/>
        <c:auto val="1"/>
        <c:lblAlgn val="ctr"/>
        <c:lblOffset val="100"/>
        <c:noMultiLvlLbl val="0"/>
      </c:catAx>
      <c:valAx>
        <c:axId val="30702171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 baseline="0"/>
                  <a:t>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/>
                <a:ea typeface="+mn-ea"/>
                <a:cs typeface="+mn-cs"/>
              </a:defRPr>
            </a:pPr>
            <a:endParaRPr lang="it-IT"/>
          </a:p>
        </c:txPr>
        <c:crossAx val="3070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0103551509186353"/>
          <c:y val="0.88207317045062539"/>
          <c:w val="0.12985175397809781"/>
          <c:h val="8.9233757762546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</a:rPr>
              <a:t>Height of the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B4-44C1-9F2D-18DBB707A3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B4-44C1-9F2D-18DBB707A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B4-44C1-9F2D-18DBB707A3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B4-44C1-9F2D-18DBB707A3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B4-44C1-9F2D-18DBB707A3BA}"/>
              </c:ext>
            </c:extLst>
          </c:dPt>
          <c:dPt>
            <c:idx val="5"/>
            <c:bubble3D val="0"/>
            <c:spPr>
              <a:solidFill>
                <a:schemeClr val="bg2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AB-4C51-899F-A16F8687CC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B4-44C1-9F2D-18DBB707A3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B4-44C1-9F2D-18DBB707A3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Graphs!$A$17:$A$24</c:f>
              <c:strCache>
                <c:ptCount val="8"/>
                <c:pt idx="0">
                  <c:v>&lt;161</c:v>
                </c:pt>
                <c:pt idx="1">
                  <c:v>161-165</c:v>
                </c:pt>
                <c:pt idx="2">
                  <c:v>166-170</c:v>
                </c:pt>
                <c:pt idx="3">
                  <c:v>171-175</c:v>
                </c:pt>
                <c:pt idx="4">
                  <c:v>176-180</c:v>
                </c:pt>
                <c:pt idx="5">
                  <c:v>181-185</c:v>
                </c:pt>
                <c:pt idx="6">
                  <c:v>186-190</c:v>
                </c:pt>
                <c:pt idx="7">
                  <c:v>&gt;190</c:v>
                </c:pt>
              </c:strCache>
            </c:strRef>
          </c:cat>
          <c:val>
            <c:numRef>
              <c:f>Graphs!$B$17:$B$24</c:f>
              <c:numCache>
                <c:formatCode>General</c:formatCode>
                <c:ptCount val="8"/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B-4C51-899F-A16F8687C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200" b="1" i="0" u="none" strike="noStrike" baseline="0">
                <a:effectLst/>
              </a:rPr>
              <a:t>I found the various functions in this system were well integrated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Graphs!$B$30:$F$30</c:f>
              <c:numCache>
                <c:formatCode>General</c:formatCode>
                <c:ptCount val="5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9-41C4-86BB-7125634AAF83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Graphs!$B$31:$F$31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9-41C4-86BB-7125634AAF83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Graphs!$B$32:$F$32</c:f>
              <c:numCache>
                <c:formatCode>General</c:formatCode>
                <c:ptCount val="5"/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9-41C4-86BB-7125634AAF83}"/>
            </c:ext>
          </c:extLst>
        </c:ser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Graphs!$B$33:$F$33</c:f>
              <c:numCache>
                <c:formatCode>General</c:formatCode>
                <c:ptCount val="5"/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9-41C4-86BB-7125634AAF83}"/>
            </c:ext>
          </c:extLst>
        </c:ser>
        <c:ser>
          <c:idx val="4"/>
          <c:order val="4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Graphs!$B$34:$F$34</c:f>
              <c:numCache>
                <c:formatCode>General</c:formatCode>
                <c:ptCount val="5"/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9-41C4-86BB-7125634AA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0144176"/>
        <c:axId val="1800138896"/>
      </c:barChart>
      <c:catAx>
        <c:axId val="1800144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/>
                  <a:t>Subjects</a:t>
                </a:r>
              </a:p>
            </c:rich>
          </c:tx>
          <c:layout>
            <c:manualLayout>
              <c:xMode val="edge"/>
              <c:yMode val="edge"/>
              <c:x val="0.4770038709638351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crossAx val="1800138896"/>
        <c:crosses val="autoZero"/>
        <c:auto val="1"/>
        <c:lblAlgn val="ctr"/>
        <c:lblOffset val="100"/>
        <c:noMultiLvlLbl val="0"/>
      </c:catAx>
      <c:valAx>
        <c:axId val="18001388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/>
                  <a:t>Score</a:t>
                </a:r>
              </a:p>
            </c:rich>
          </c:tx>
          <c:layout>
            <c:manualLayout>
              <c:xMode val="edge"/>
              <c:yMode val="edge"/>
              <c:x val="2.6916596397899353E-2"/>
              <c:y val="0.46667796733741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1800144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200" b="1" i="0" u="none" strike="noStrike" baseline="0">
                <a:effectLst/>
              </a:rPr>
              <a:t>I think that I would need the support of a technical person to be able to use this system</a:t>
            </a:r>
            <a:endParaRPr lang="en-GB" sz="1200" b="1">
              <a:latin typeface="Manrope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Graphs!$B$45:$B$49</c:f>
              <c:numCache>
                <c:formatCode>General</c:formatCode>
                <c:ptCount val="5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B-469F-BA8A-3927789A4840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Graphs!$C$45:$C$49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B-469F-BA8A-3927789A4840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Graphs!$D$45:$D$49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B-469F-BA8A-3927789A4840}"/>
            </c:ext>
          </c:extLst>
        </c:ser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Graphs!$E$45:$E$49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B-469F-BA8A-3927789A4840}"/>
            </c:ext>
          </c:extLst>
        </c:ser>
        <c:ser>
          <c:idx val="4"/>
          <c:order val="4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Graphs!$F$45:$F$49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8B-469F-BA8A-3927789A4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0144176"/>
        <c:axId val="1800138896"/>
      </c:barChart>
      <c:catAx>
        <c:axId val="1800144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>
                    <a:latin typeface="Manrope" pitchFamily="2" charset="0"/>
                  </a:rPr>
                  <a:t>Subjects</a:t>
                </a:r>
              </a:p>
            </c:rich>
          </c:tx>
          <c:layout>
            <c:manualLayout>
              <c:xMode val="edge"/>
              <c:yMode val="edge"/>
              <c:x val="0.47315864290699239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crossAx val="1800138896"/>
        <c:crosses val="autoZero"/>
        <c:auto val="1"/>
        <c:lblAlgn val="ctr"/>
        <c:lblOffset val="100"/>
        <c:noMultiLvlLbl val="0"/>
      </c:catAx>
      <c:valAx>
        <c:axId val="18001388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>
                    <a:latin typeface="Manrope" pitchFamily="2" charset="0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6916596397899353E-2"/>
              <c:y val="0.49864574219889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0144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471488</xdr:colOff>
      <xdr:row>0</xdr:row>
      <xdr:rowOff>119063</xdr:rowOff>
    </xdr:from>
    <xdr:to>
      <xdr:col>16</xdr:col>
      <xdr:colOff>166688</xdr:colOff>
      <xdr:row>13</xdr:row>
      <xdr:rowOff>60007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D7A47-7894-4189-90EE-ABC4C4D47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</xdr:colOff>
      <xdr:row>13</xdr:row>
      <xdr:rowOff>171449</xdr:rowOff>
    </xdr:from>
    <xdr:to>
      <xdr:col>14</xdr:col>
      <xdr:colOff>152400</xdr:colOff>
      <xdr:row>26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A8E318-DF0B-DF36-51F2-A7FBAFAEA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21430</xdr:colOff>
      <xdr:row>27</xdr:row>
      <xdr:rowOff>121660</xdr:rowOff>
    </xdr:from>
    <xdr:to>
      <xdr:col>14</xdr:col>
      <xdr:colOff>85725</xdr:colOff>
      <xdr:row>42</xdr:row>
      <xdr:rowOff>54985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D875C8-3443-5DE5-CC22-48E4482C7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14</xdr:col>
      <xdr:colOff>64295</xdr:colOff>
      <xdr:row>57</xdr:row>
      <xdr:rowOff>138113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810C17-9BA5-4AD0-A89F-2E64236DE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0.54222</cdr:x>
      <cdr:y>0.87612</cdr:y>
    </cdr:from>
    <cdr:to>
      <cdr:x>0.66306</cdr:x>
      <cdr:y>0.96987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82A3BEC-7EA6-F721-2029-E018DC2AA715}"/>
            </a:ext>
          </a:extLst>
        </cdr:cNvPr>
        <cdr:cNvSpPr txBox="1"/>
      </cdr:nvSpPr>
      <cdr:spPr>
        <a:xfrm xmlns:a="http://schemas.openxmlformats.org/drawingml/2006/main">
          <a:off x="2644296" y="2280697"/>
          <a:ext cx="589313" cy="24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0.53161</cdr:x>
      <cdr:y>0.92521</cdr:y>
    </cdr:from>
    <cdr:to>
      <cdr:x>0.55998</cdr:x>
      <cdr:y>0.92521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0EFBA553-8DDF-0B39-CE5F-46EC677C88AF}"/>
            </a:ext>
          </a:extLst>
        </cdr:cNvPr>
        <cdr:cNvCxnSpPr/>
      </cdr:nvCxnSpPr>
      <cdr:spPr>
        <a:xfrm xmlns:a="http://schemas.openxmlformats.org/drawingml/2006/main">
          <a:off x="2592837" y="2408881"/>
          <a:ext cx="138369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02C53"/>
      </a:dk2>
      <a:lt2>
        <a:srgbClr val="FFFFFF"/>
      </a:lt2>
      <a:accent1>
        <a:srgbClr val="102C53"/>
      </a:accent1>
      <a:accent2>
        <a:srgbClr val="596C87"/>
      </a:accent2>
      <a:accent3>
        <a:srgbClr val="8795A8"/>
      </a:accent3>
      <a:accent4>
        <a:srgbClr val="B7BFCA"/>
      </a:accent4>
      <a:accent5>
        <a:srgbClr val="D0D5DD"/>
      </a:accent5>
      <a:accent6>
        <a:srgbClr val="F3F3F6"/>
      </a:accent6>
      <a:hlink>
        <a:srgbClr val="0000FF"/>
      </a:hlink>
      <a:folHlink>
        <a:srgbClr val="28C8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R6" sqref="R6"/>
    </sheetView>
  </sheetViews>
  <sheetFormatPr defaultColWidth="8.796875" defaultRowHeight="14.25" x14ac:dyDescent="0.45"/>
  <cols>
    <col min="1" max="1" width="11.796875" bestFit="1" customWidth="1"/>
    <col min="2" max="5" width="10.6640625" bestFit="1" customWidth="1"/>
    <col min="6" max="6" width="12.1328125" bestFit="1" customWidth="1"/>
    <col min="7" max="14" width="12.33203125" bestFit="1" customWidth="1"/>
    <col min="15" max="15" width="13.6640625" bestFit="1" customWidth="1"/>
    <col min="16" max="16" width="17.33203125" bestFit="1" customWidth="1"/>
    <col min="17" max="17" width="18.33203125" bestFit="1" customWidth="1"/>
    <col min="18" max="18" width="7.33203125" bestFit="1" customWidth="1"/>
  </cols>
  <sheetData>
    <row r="1" spans="1:19" ht="16.149999999999999" x14ac:dyDescent="0.6">
      <c r="A1" s="2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19</v>
      </c>
      <c r="Q1" s="2" t="s">
        <v>20</v>
      </c>
      <c r="R1" s="2" t="s">
        <v>21</v>
      </c>
      <c r="S1" s="1"/>
    </row>
    <row r="2" spans="1:19" ht="16.149999999999999" x14ac:dyDescent="0.6">
      <c r="A2" s="1" t="s">
        <v>18</v>
      </c>
      <c r="B2" s="1" t="s">
        <v>17</v>
      </c>
      <c r="C2" s="1" t="s">
        <v>16</v>
      </c>
      <c r="D2" s="1" t="s">
        <v>15</v>
      </c>
      <c r="E2" s="1">
        <v>5</v>
      </c>
      <c r="F2" s="1">
        <v>4</v>
      </c>
      <c r="G2" s="1">
        <v>2</v>
      </c>
      <c r="H2" s="1">
        <v>4</v>
      </c>
      <c r="I2" s="1">
        <v>2</v>
      </c>
      <c r="J2" s="1">
        <v>5</v>
      </c>
      <c r="K2" s="1">
        <v>4</v>
      </c>
      <c r="L2" s="1">
        <v>5</v>
      </c>
      <c r="M2" s="1">
        <v>5</v>
      </c>
      <c r="N2" s="1">
        <v>5</v>
      </c>
      <c r="O2" s="1">
        <v>2</v>
      </c>
      <c r="P2" s="1">
        <f>SUM(F2,H2,J2,L2,N2)-5</f>
        <v>18</v>
      </c>
      <c r="Q2" s="1">
        <f>25-SUM(G2,I2,K2,M2,O2)</f>
        <v>10</v>
      </c>
      <c r="R2" s="1">
        <f>2.5*(P2+Q2)</f>
        <v>70</v>
      </c>
      <c r="S2" s="1"/>
    </row>
    <row r="3" spans="1:19" ht="16.149999999999999" x14ac:dyDescent="0.6">
      <c r="A3" s="1" t="s">
        <v>22</v>
      </c>
      <c r="B3" s="1" t="s">
        <v>17</v>
      </c>
      <c r="C3" s="1" t="s">
        <v>16</v>
      </c>
      <c r="D3" s="1" t="s">
        <v>23</v>
      </c>
      <c r="E3" s="1">
        <v>5</v>
      </c>
      <c r="F3" s="1">
        <v>4</v>
      </c>
      <c r="G3" s="1">
        <v>3</v>
      </c>
      <c r="H3" s="1">
        <v>5</v>
      </c>
      <c r="I3" s="1">
        <v>4</v>
      </c>
      <c r="J3" s="1">
        <v>4</v>
      </c>
      <c r="K3" s="1">
        <v>3</v>
      </c>
      <c r="L3" s="1">
        <v>3</v>
      </c>
      <c r="M3" s="1">
        <v>4</v>
      </c>
      <c r="N3" s="1">
        <v>3</v>
      </c>
      <c r="O3" s="1">
        <v>2</v>
      </c>
      <c r="P3" s="1">
        <f>SUM(F3,H3,J3,L3,N3)-5</f>
        <v>14</v>
      </c>
      <c r="Q3" s="1">
        <f>25-SUM(G3,I3,K3,M3,O3)</f>
        <v>9</v>
      </c>
      <c r="R3" s="1">
        <f>2.5*(P3+Q3)</f>
        <v>57.5</v>
      </c>
      <c r="S3" s="1"/>
    </row>
    <row r="4" spans="1:19" ht="16.149999999999999" x14ac:dyDescent="0.6">
      <c r="A4" s="1" t="s">
        <v>24</v>
      </c>
      <c r="B4" s="1" t="s">
        <v>17</v>
      </c>
      <c r="C4" s="1" t="s">
        <v>16</v>
      </c>
      <c r="D4" s="1" t="s">
        <v>25</v>
      </c>
      <c r="E4" s="1">
        <v>5</v>
      </c>
      <c r="F4" s="1">
        <v>4</v>
      </c>
      <c r="G4" s="1">
        <v>4</v>
      </c>
      <c r="H4" s="1">
        <v>5</v>
      </c>
      <c r="I4" s="1">
        <v>2</v>
      </c>
      <c r="J4" s="1">
        <v>4</v>
      </c>
      <c r="K4" s="1">
        <v>4</v>
      </c>
      <c r="L4" s="1">
        <v>3</v>
      </c>
      <c r="M4" s="1">
        <v>2</v>
      </c>
      <c r="N4" s="1">
        <v>4</v>
      </c>
      <c r="O4" s="1">
        <v>3</v>
      </c>
      <c r="P4" s="1">
        <f>SUM(F4,H4,J4,L4,N4)-5</f>
        <v>15</v>
      </c>
      <c r="Q4" s="1">
        <f>25-SUM(G4,I4,K4,M4,O4)</f>
        <v>10</v>
      </c>
      <c r="R4" s="1">
        <f>2.5*(P4+Q4)</f>
        <v>62.5</v>
      </c>
      <c r="S4" s="1"/>
    </row>
    <row r="5" spans="1:19" ht="16.149999999999999" x14ac:dyDescent="0.6">
      <c r="A5" s="1" t="s">
        <v>28</v>
      </c>
      <c r="B5" s="1" t="s">
        <v>17</v>
      </c>
      <c r="C5" s="1" t="s">
        <v>16</v>
      </c>
      <c r="D5" s="1" t="s">
        <v>29</v>
      </c>
      <c r="E5" s="1">
        <v>5</v>
      </c>
      <c r="F5" s="1">
        <v>5</v>
      </c>
      <c r="G5" s="1">
        <v>2</v>
      </c>
      <c r="H5" s="1">
        <v>4</v>
      </c>
      <c r="I5" s="1">
        <v>1</v>
      </c>
      <c r="J5" s="1">
        <v>4</v>
      </c>
      <c r="K5" s="1">
        <v>4</v>
      </c>
      <c r="L5" s="1">
        <v>3</v>
      </c>
      <c r="M5" s="1">
        <v>3</v>
      </c>
      <c r="N5" s="1">
        <v>4</v>
      </c>
      <c r="O5" s="1">
        <v>3</v>
      </c>
      <c r="P5" s="1">
        <f>SUM(F5,H5,J5,L5,N5)-5</f>
        <v>15</v>
      </c>
      <c r="Q5" s="1">
        <f>25-SUM(G5,I5,K5,M5,O5)</f>
        <v>12</v>
      </c>
      <c r="R5" s="1">
        <f>2.5*(P5+Q5)</f>
        <v>67.5</v>
      </c>
      <c r="S5" s="1"/>
    </row>
    <row r="6" spans="1:19" ht="16.149999999999999" x14ac:dyDescent="0.6">
      <c r="A6" s="1" t="s">
        <v>30</v>
      </c>
      <c r="B6" s="1" t="s">
        <v>17</v>
      </c>
      <c r="C6" s="1" t="s">
        <v>16</v>
      </c>
      <c r="D6" s="1" t="s">
        <v>31</v>
      </c>
      <c r="E6" s="1">
        <v>5</v>
      </c>
      <c r="F6" s="1">
        <v>4</v>
      </c>
      <c r="G6" s="1">
        <v>3</v>
      </c>
      <c r="H6" s="1">
        <v>3</v>
      </c>
      <c r="I6" s="1">
        <v>3</v>
      </c>
      <c r="J6" s="1">
        <v>4</v>
      </c>
      <c r="K6" s="1">
        <v>5</v>
      </c>
      <c r="L6" s="1">
        <v>4</v>
      </c>
      <c r="M6" s="1">
        <v>5</v>
      </c>
      <c r="N6" s="1">
        <v>4</v>
      </c>
      <c r="O6" s="1">
        <v>3</v>
      </c>
      <c r="P6" s="1">
        <f>SUM(F6,H6,J6,L6,N6)-5</f>
        <v>14</v>
      </c>
      <c r="Q6" s="1">
        <f>25-SUM(G6,I6,K6,M6,O6)</f>
        <v>6</v>
      </c>
      <c r="R6" s="1">
        <f>2.5*(P6+Q6)</f>
        <v>50</v>
      </c>
      <c r="S6" s="1"/>
    </row>
    <row r="7" spans="1:19" ht="16.149999999999999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149999999999999" x14ac:dyDescent="0.6">
      <c r="A8" s="2" t="s">
        <v>26</v>
      </c>
      <c r="B8" s="1">
        <f>MEDIAN(R2:R6)</f>
        <v>62.5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6.149999999999999" x14ac:dyDescent="0.6">
      <c r="A9" s="2" t="s">
        <v>27</v>
      </c>
      <c r="B9" s="1">
        <f>_xlfn.QUARTILE.INC(R2:R6,3)-_xlfn.QUARTILE.INC(R2:R6,1)</f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6.149999999999999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6.149999999999999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9E1E-A628-4C19-96C2-BD8146D156CB}">
  <dimension ref="A1:T49"/>
  <sheetViews>
    <sheetView tabSelected="1" topLeftCell="A25" zoomScale="85" workbookViewId="0">
      <selection activeCell="U35" sqref="U35"/>
    </sheetView>
  </sheetViews>
  <sheetFormatPr defaultColWidth="8.796875" defaultRowHeight="14.25" x14ac:dyDescent="0.45"/>
  <cols>
    <col min="1" max="1" width="10.46484375" bestFit="1" customWidth="1"/>
  </cols>
  <sheetData>
    <row r="1" spans="1:20" ht="16.149999999999999" x14ac:dyDescent="0.6">
      <c r="A1" s="2" t="s">
        <v>10</v>
      </c>
      <c r="B1" s="2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149999999999999" x14ac:dyDescent="0.6">
      <c r="A2" s="1" t="s">
        <v>30</v>
      </c>
      <c r="B2" s="1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6.149999999999999" x14ac:dyDescent="0.6">
      <c r="A3" s="1" t="s">
        <v>22</v>
      </c>
      <c r="B3" s="1">
        <v>57.5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149999999999999" x14ac:dyDescent="0.6">
      <c r="A4" s="3" t="s">
        <v>26</v>
      </c>
      <c r="B4" s="3">
        <v>62.5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6.149999999999999" x14ac:dyDescent="0.6">
      <c r="A5" s="1" t="s">
        <v>28</v>
      </c>
      <c r="B5" s="1">
        <v>67.5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6.149999999999999" x14ac:dyDescent="0.6">
      <c r="A6" s="1" t="s">
        <v>18</v>
      </c>
      <c r="B6" s="1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6.149999999999999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6.149999999999999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6.149999999999999" x14ac:dyDescent="0.6">
      <c r="A9" s="2" t="s">
        <v>32</v>
      </c>
      <c r="B9" s="1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6.149999999999999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6.149999999999999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6.149999999999999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6.149999999999999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6.149999999999999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6.149999999999999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6.149999999999999" x14ac:dyDescent="0.6">
      <c r="A16" s="2" t="s">
        <v>13</v>
      </c>
      <c r="B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6.149999999999999" x14ac:dyDescent="0.6">
      <c r="A17" s="1" t="s">
        <v>33</v>
      </c>
      <c r="B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6.149999999999999" x14ac:dyDescent="0.6">
      <c r="A18" s="1" t="s">
        <v>34</v>
      </c>
      <c r="B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6.149999999999999" x14ac:dyDescent="0.6">
      <c r="A19" s="1" t="s">
        <v>35</v>
      </c>
      <c r="B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6.149999999999999" x14ac:dyDescent="0.6">
      <c r="A20" s="1" t="s">
        <v>31</v>
      </c>
      <c r="B20" s="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6.149999999999999" x14ac:dyDescent="0.6">
      <c r="A21" s="1" t="s">
        <v>29</v>
      </c>
      <c r="B21" s="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6.149999999999999" x14ac:dyDescent="0.6">
      <c r="A22" s="1" t="s">
        <v>23</v>
      </c>
      <c r="B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6.149999999999999" x14ac:dyDescent="0.6">
      <c r="A23" s="1" t="s">
        <v>25</v>
      </c>
      <c r="B23" s="1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6.149999999999999" x14ac:dyDescent="0.6">
      <c r="A24" s="1" t="s">
        <v>15</v>
      </c>
      <c r="B24" s="1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6.149999999999999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6.149999999999999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6.149999999999999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6.149999999999999" x14ac:dyDescent="0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6.149999999999999" x14ac:dyDescent="0.6">
      <c r="A29" s="2" t="s">
        <v>4</v>
      </c>
      <c r="B29" s="1"/>
      <c r="C29" s="1"/>
      <c r="D29" s="1"/>
      <c r="E29" s="1"/>
      <c r="F29" s="1"/>
      <c r="G29" s="1"/>
      <c r="H29" s="1"/>
      <c r="I29" s="1"/>
    </row>
    <row r="30" spans="1:20" ht="16.149999999999999" x14ac:dyDescent="0.6">
      <c r="A30" s="1" t="s">
        <v>36</v>
      </c>
      <c r="B30" s="1">
        <v>5</v>
      </c>
      <c r="C30" s="1"/>
      <c r="D30" s="1"/>
      <c r="E30" s="1"/>
      <c r="F30" s="1"/>
      <c r="G30" s="1"/>
      <c r="H30" s="1"/>
      <c r="I30" s="1"/>
    </row>
    <row r="31" spans="1:20" ht="16.149999999999999" x14ac:dyDescent="0.6">
      <c r="A31" s="1"/>
      <c r="C31">
        <v>4</v>
      </c>
      <c r="E31" s="1"/>
      <c r="F31" s="1"/>
      <c r="G31" s="1"/>
      <c r="H31" s="1"/>
      <c r="I31" s="1"/>
    </row>
    <row r="32" spans="1:20" x14ac:dyDescent="0.45">
      <c r="D32">
        <v>4</v>
      </c>
    </row>
    <row r="33" spans="1:6" x14ac:dyDescent="0.45">
      <c r="E33">
        <v>4</v>
      </c>
    </row>
    <row r="34" spans="1:6" x14ac:dyDescent="0.45">
      <c r="F34">
        <v>4</v>
      </c>
    </row>
    <row r="44" spans="1:6" ht="16.149999999999999" x14ac:dyDescent="0.6">
      <c r="A44" s="2" t="s">
        <v>3</v>
      </c>
      <c r="B44" s="1"/>
      <c r="C44" s="1"/>
      <c r="D44" s="1"/>
      <c r="E44" s="1"/>
      <c r="F44" s="1"/>
    </row>
    <row r="45" spans="1:6" ht="16.149999999999999" x14ac:dyDescent="0.6">
      <c r="A45" s="1" t="s">
        <v>36</v>
      </c>
      <c r="B45" s="1">
        <v>2</v>
      </c>
      <c r="C45" s="1"/>
      <c r="D45" s="1"/>
      <c r="E45" s="1"/>
      <c r="F45" s="1"/>
    </row>
    <row r="46" spans="1:6" ht="16.149999999999999" x14ac:dyDescent="0.6">
      <c r="A46" s="1"/>
      <c r="C46">
        <v>4</v>
      </c>
      <c r="E46" s="1"/>
      <c r="F46" s="1"/>
    </row>
    <row r="47" spans="1:6" x14ac:dyDescent="0.45">
      <c r="D47">
        <v>1</v>
      </c>
    </row>
    <row r="48" spans="1:6" x14ac:dyDescent="0.45">
      <c r="E48">
        <v>2</v>
      </c>
    </row>
    <row r="49" spans="6:6" x14ac:dyDescent="0.45">
      <c r="F49">
        <v>3</v>
      </c>
    </row>
  </sheetData>
  <sortState xmlns:xlrd2="http://schemas.microsoft.com/office/spreadsheetml/2017/richdata2" ref="A2:B6">
    <sortCondition ref="B2:B6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2015-06-05T18:17:20Z</dcterms:created>
  <dcterms:modified xsi:type="dcterms:W3CDTF">2025-01-29T13:41:42Z</dcterms:modified>
</cp:coreProperties>
</file>